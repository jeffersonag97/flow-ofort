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TOS" sheetId="1" r:id="rId4"/>
    <sheet state="visible" name="MOVIMENTACOES" sheetId="2" r:id="rId5"/>
    <sheet state="visible" name="ESTOQUE ATUAL" sheetId="3" r:id="rId6"/>
  </sheets>
  <definedNames>
    <definedName name="consulta">MOVIMENTACOES!$J$294:$K$302</definedName>
    <definedName name="produto">PRODUTOS!$A$1:$H$239</definedName>
    <definedName hidden="1" localSheetId="2" name="_xlnm._FilterDatabase">'ESTOQUE ATUAL'!$A$1:$I$235</definedName>
  </definedNames>
  <calcPr/>
  <extLst>
    <ext uri="GoogleSheetsCustomDataVersion2">
      <go:sheetsCustomData xmlns:go="http://customooxmlschemas.google.com/" r:id="rId7" roundtripDataChecksum="TzVRddWFnCZjtb/I7EOH7L8sEjHudDHnt+zFmVAyOhA="/>
    </ext>
  </extLst>
</workbook>
</file>

<file path=xl/sharedStrings.xml><?xml version="1.0" encoding="utf-8"?>
<sst xmlns="http://schemas.openxmlformats.org/spreadsheetml/2006/main" count="3161" uniqueCount="608">
  <si>
    <t>Código do Produto</t>
  </si>
  <si>
    <t>Nome do Item</t>
  </si>
  <si>
    <t>Fornecedor</t>
  </si>
  <si>
    <t>Unidade de Medida</t>
  </si>
  <si>
    <t>Categoria</t>
  </si>
  <si>
    <t>Marca</t>
  </si>
  <si>
    <t xml:space="preserve"> Localizção</t>
  </si>
  <si>
    <t>Descrição do Produto</t>
  </si>
  <si>
    <t>Column 9</t>
  </si>
  <si>
    <t>200000018</t>
  </si>
  <si>
    <t>Algodão Hidrófilo Bola 100gr</t>
  </si>
  <si>
    <t>SIGBP</t>
  </si>
  <si>
    <t>UN</t>
  </si>
  <si>
    <t>CONSUMO</t>
  </si>
  <si>
    <t>Nathy</t>
  </si>
  <si>
    <t>ARMARIO (A)</t>
  </si>
  <si>
    <t>Algodão Hidrófilo Bola 100g Farol é ideal para a higienização e assepsia da pele, remoção de maquiagem, esmalte e higiene do bebê. 
Composto por fibras 100% algodão purificadas e alvejadas, seu formato em bolas facilita a utilização, tornando-o prático para diversos procedimentos de cuidados pessoais e médicos. 
Adequado para ambientes hospitalares e uso doméstico, garante alta absorção e suavidade.
Características:
Fibras 100% algodão purificadas e alvejadas;
Formato em bolas que facilita a utilização;
Ideal para higienização e assepsia da pele, remoção de maquiagem e esmaltes;
Adequado para uso médico-hospitalar.
Especificações Técnicas:
Material: 100% algodão;
Peso: 100g;
Registro ANVISA: 10341660006.</t>
  </si>
  <si>
    <t>LIXA D'AGUA 150</t>
  </si>
  <si>
    <t>CORDEIRO MAQUINAS E FERRAMENTAS</t>
  </si>
  <si>
    <t>BOSCH</t>
  </si>
  <si>
    <t>A(6-3)</t>
  </si>
  <si>
    <t>C423
Contém 25 folhas um pct, do tamanho 225 mm x 275 mm
Composição: Costado de papel látex á prova d'água, óxido de alumínio e adesivos. Garantia, grão e validade: vide costado de luxa.
Amazenar em lugar seco e ventilado.</t>
  </si>
  <si>
    <t>LIXA D'MADEIRA 120</t>
  </si>
  <si>
    <t>A(6-4)</t>
  </si>
  <si>
    <t>D411
Contém 25 folhas um pct, do tamanho 225 mm x 275 mm
Composição: Costado de papel látex á prova d'água, óxido de alumínio e adesivos. Garantia, grão e validade: vide costado de luxa.
Amazenar em lugar seco e ventilado.</t>
  </si>
  <si>
    <t>OLEO MINERAL 70PS</t>
  </si>
  <si>
    <t>CASASLEO</t>
  </si>
  <si>
    <t>NÃO INFORMADO</t>
  </si>
  <si>
    <t>Faltando</t>
  </si>
  <si>
    <t>THINNER / LIMPEZA E ACABAMENTO 900ML</t>
  </si>
  <si>
    <t>ITAQUA</t>
  </si>
  <si>
    <t>A(10-1)</t>
  </si>
  <si>
    <t xml:space="preserve">FAB: 11/2024
VAL: 3 ANOS
IT 16 (thinner-multiuso)
IT 800 (thinner - diluição)
IT 37 (thinner acabamento automotivo)
</t>
  </si>
  <si>
    <t>TRINCHA 3</t>
  </si>
  <si>
    <t>ATLAS</t>
  </si>
  <si>
    <t>PCT COM 12 UNIDADE
Aspectos: Suas cerdas mistas são suaves, macias, proporcionam boa absorção e retenção de tinta, evitam desperdício de tempo e dinheiro. Coberturas e acabamentos uniformes, deslizamento suave e material resistente são algumas das principais características deste pincel.</t>
  </si>
  <si>
    <t xml:space="preserve">TRINCHA 3/4 </t>
  </si>
  <si>
    <t>PCT COM 12 UNIDADE
Trincha para Pintura Média 3/4" Atlas possui cerdas brancas selecionadas que oferecem uma melhor performance no momento da pintura. O produto é ideal no uso de verniz e stain para você deixar a reforma ou o acabamento da sua decoração do jeito que você gosta.</t>
  </si>
  <si>
    <t>FITA ISOLANTE 18MMX20M COR PRETA</t>
  </si>
  <si>
    <t>ARMARIO (B)</t>
  </si>
  <si>
    <t>LUVA DE VINIL G(9) COM 100 UND</t>
  </si>
  <si>
    <t>EPI</t>
  </si>
  <si>
    <t>NOBRE</t>
  </si>
  <si>
    <t>LUVA LATEX M(8) COM 100 UND</t>
  </si>
  <si>
    <t>LUVA DE VINIL M(8) COM 100 UND</t>
  </si>
  <si>
    <t>LUVA LATEX P COM 100 UND</t>
  </si>
  <si>
    <t>HEALTHCARE</t>
  </si>
  <si>
    <t>LUVA PARA PROCEDIMENTO NÃO CURÚRGICO EM LATEX COM PO TAMANHO P COM 100 UNIDADES</t>
  </si>
  <si>
    <t>MASCARA CIRURGICA TRIPLA</t>
  </si>
  <si>
    <t>MASCARA CIRURGICA DESCARTAVEL COM 3 CAMADAS RETANGULAR COM ELASTICO EMBALAGEM COM 50UN</t>
  </si>
  <si>
    <t>MASCARA DE PROTEÇÃO PFF2 FILTRO N95 COM VALVULA SUPER SAFETY (azul)</t>
  </si>
  <si>
    <t>PCT</t>
  </si>
  <si>
    <t>AIRPROT</t>
  </si>
  <si>
    <t>MASCARA DE PROTEÇÃO PFF2 FILTRO N95 COM VALVULA SUPER SAFETY CA</t>
  </si>
  <si>
    <t>MASCARA DE PROTEÇÃO PFF2 FILTRO N95( BRANCA)</t>
  </si>
  <si>
    <t>2 - NUTRIEX
5 - CHIKOOL</t>
  </si>
  <si>
    <t>MASCARA DE PROTEÇÃO PFF2 FILTRO N95</t>
  </si>
  <si>
    <t>MASCARA DE PROTEÇÃO PFR95 FILTRO N95 (PRETA)</t>
  </si>
  <si>
    <t>OCULOS DE PROTEÇÃO JAGUAR</t>
  </si>
  <si>
    <t>KAPIPSO epi</t>
  </si>
  <si>
    <t>OCULOS DE PROTEÇÃO POLICARBONATO INCOLOR TIPO CARBOGRAFITE</t>
  </si>
  <si>
    <t>PROTETOR AURICULAR DE SILICONE TIPO PLUG</t>
  </si>
  <si>
    <t>SUPERMEDY</t>
  </si>
  <si>
    <t>PROTETOR AURICULAR TIPO CONCHA</t>
  </si>
  <si>
    <t>CX</t>
  </si>
  <si>
    <t>CONFORTPLUS</t>
  </si>
  <si>
    <t>ABAFADOR DE RUIDO TIPO CONCHA</t>
  </si>
  <si>
    <t>TOUCA DESCARTAVEL PACOTE COM 100 UN</t>
  </si>
  <si>
    <t>A Touca Descartável da Descarpack é um artigo médico utilizado para impedir a queda de cabelos em locais que precisam de alta limpeza e, assim, evitar possíveis contaminações ou acidentes. A touca é voltada para uso por profissionais de áreas diversas.
Características e detalhes:
* Fabricada em Tecido Não Tecido (TNT) 100% polipropileno;
* Possui elástico revestido que garante maior vedação e conforto;
* Confeccionada em material que permite a respiração do couro cabeludo;
* Tamanho único;
* Não estéril, descartável e de uso único.
Indicações de uso:
A Touca Descartável da Descarpack é indicada para uso em ambientes médicos e hospitalares – hospitais, clínicas, laboratórios, farmácias ou clínicas odontológicas. Pode ser usada também por profissionais das áreas de alimentação e nutrição.
Especificações do produto:
Pacote com 100 unidades.
Cor: branca.
Ref.: 0093201.</t>
  </si>
  <si>
    <t>LUVA EPI ALGODÃO MALHA PIGMENTADA PRETA</t>
  </si>
  <si>
    <t>PASTA OFICIO EM PAPELAO COM TRILHO 250X340MM</t>
  </si>
  <si>
    <t>EXPEDIENTE</t>
  </si>
  <si>
    <t>ABRAÇADEIRA DE NYLON 100X2,5MM</t>
  </si>
  <si>
    <t>ABRAÇADEIRA DE NYLON 100X2,5MM
Pacote com 100unidade</t>
  </si>
  <si>
    <t>ALCOOL 1LT</t>
  </si>
  <si>
    <t>BELLOBELLA INDUSTRIA DE COSMETICOS - 7
OUTRO - 1
OUTRO - 1</t>
  </si>
  <si>
    <t>ALCOOL ETILICO A 70% DE 1LT</t>
  </si>
  <si>
    <t>ALFINETE MARCADOR DE MAPA 8MM TIPO BOLA EM PLASTICO 50UN</t>
  </si>
  <si>
    <t>BACCHI</t>
  </si>
  <si>
    <t>ALFINETE PARA COSTURA CABO FINO Nº29</t>
  </si>
  <si>
    <t>ALFINETE NIQUELADO, NÚMERO 29, 50 GRAMAS, MARCA BACCHI. PARA COSTURA</t>
  </si>
  <si>
    <t>BORRACHA ESCOLAR BRANCA 34X23X8</t>
  </si>
  <si>
    <t>PREMIER</t>
  </si>
  <si>
    <t>CAIXA ARQUIVO MORTO EM POLIONDA MED (380X175X290) MM NA COR AMARELA</t>
  </si>
  <si>
    <t>B(2-3)</t>
  </si>
  <si>
    <t>CANETA ESFEROGRAFICA PONTA MEDIA COR AZUL</t>
  </si>
  <si>
    <t>COMPACTOR ECONOMIC</t>
  </si>
  <si>
    <t>CANETA MARCADOR PERMANENTE PONTA 2.0mm</t>
  </si>
  <si>
    <t>marcador para retro projetor permanete
ponta media 2.0mm</t>
  </si>
  <si>
    <t>CANETA MARCADOR PERMANENTE PONTA GROSSA PRETO</t>
  </si>
  <si>
    <t>MASTERPRINT</t>
  </si>
  <si>
    <t xml:space="preserve"> CANETA PARA RETROPROJETOR FINA</t>
  </si>
  <si>
    <t>CANETA MARCADOR PERMANENTE PONTA GROSSA PRETO e AZUL(200031692)</t>
  </si>
  <si>
    <t>CANETA ESFEROGRAFICA PONTA MEDIA COR PRETA</t>
  </si>
  <si>
    <t>ARMARIO (A-1)</t>
  </si>
  <si>
    <t>CARTOLINA GRAMATURA 50X66CM DE 150G</t>
  </si>
  <si>
    <t xml:space="preserve"> CARTOLINA GRAMATURA 50X66CM DE 150G</t>
  </si>
  <si>
    <t>CLIPS NIQUELADO Nº 1 COM 100 UN</t>
  </si>
  <si>
    <t>CLIPS NIQUELADO N°1 COM 100UND</t>
  </si>
  <si>
    <t>CLIPS NIQUELADO Nº 2 COM 100 UN</t>
  </si>
  <si>
    <t>ECCOCLIPS</t>
  </si>
  <si>
    <t>CLIPS NIQUELADO Nº 3 COM 50 UN</t>
  </si>
  <si>
    <t>CLIPS NIQUELADO Nº 8 COM 25 UN</t>
  </si>
  <si>
    <t>COLHER DESCARTAVEL 12CM COM 50 UNIDADES</t>
  </si>
  <si>
    <t>GARFO DESCARTAVEL 15CM COM 50 UNIDADES</t>
  </si>
  <si>
    <t>PAPEL GUARDANAPO DE 20X22CM COM 50 FOLHAS</t>
  </si>
  <si>
    <t>PRATO DESCARTAVEL 12CM FUNDO</t>
  </si>
  <si>
    <t>COLA BRANCA BASTAO 10G</t>
  </si>
  <si>
    <t>LEONORA</t>
  </si>
  <si>
    <t>COLA BRANCA PVA EMBALAGEM DE 1KG</t>
  </si>
  <si>
    <t>PIRA</t>
  </si>
  <si>
    <t>COPO DESCARTAVEL 180ML</t>
  </si>
  <si>
    <t>DESC</t>
  </si>
  <si>
    <t>COPO DESCARTAVEL DE 180ML (100 UNIDADES)</t>
  </si>
  <si>
    <t>CORRETIVO EM FITA 5MMX12M</t>
  </si>
  <si>
    <t>CORRETIVO LIQUIDO DE 18ML</t>
  </si>
  <si>
    <t>ELASTICOS AMARELO</t>
  </si>
  <si>
    <t xml:space="preserve">ELASTICOS N°18 COM 30 UNIDADES
LIGA ELASTICA DE BORRACHA ANAREÇA N18 DE 25G
</t>
  </si>
  <si>
    <t>ENVELOPE MADEIRA A4 240 X 340MM 80G</t>
  </si>
  <si>
    <t xml:space="preserve"> ENVELOPE MADEIRA A4 240 X 340MM 80G</t>
  </si>
  <si>
    <t>ESPARADRAPO IMPERMEAVEL 5CM X 4,5M</t>
  </si>
  <si>
    <t>2 - MAXICOR
3-MISSNER</t>
  </si>
  <si>
    <t>ESPONJA SINTETICA DUPLA FACE 10X7X2</t>
  </si>
  <si>
    <t>ESTILETE PLASTICO DE 13CM LAMINA LARGA</t>
  </si>
  <si>
    <t>DESCONHECIDO</t>
  </si>
  <si>
    <t>ESTILETE PLASTICO ESTREITO</t>
  </si>
  <si>
    <t>ESTILETE PLASTICO ESTREITO DE 9MM</t>
  </si>
  <si>
    <t>EXTRATOR DE GRAMPO ESPATULA EM AÇO DE 15cm</t>
  </si>
  <si>
    <t>FITA ADESIVA CREPE 19MM X 50M</t>
  </si>
  <si>
    <t>FITA ADESIVA TRANSPARENTE 45MM X 50M</t>
  </si>
  <si>
    <t>FITA CREPE DE 48X50MM</t>
  </si>
  <si>
    <t xml:space="preserve"> PAPEL SULFITE A4 210 X 297MM 75G BRANCO MULTIUSO PACOTE COM 500 FLS</t>
  </si>
  <si>
    <t>REPORT</t>
  </si>
  <si>
    <t>PAPEL SULFITE A4 210 X 297MM 75G BRANCO MULTIUSO PACOTE COM 500 FLS</t>
  </si>
  <si>
    <t>GRAMPEADOR</t>
  </si>
  <si>
    <t>GRAMPEADOR DE MESA MEDIO 26/6</t>
  </si>
  <si>
    <t>GRAMPO PARA GRAMPEADOR NIQUELADO 26/6 CAIXA COM 5000 PEÇAS</t>
  </si>
  <si>
    <t>1 - BRW
1-MATERPRINT</t>
  </si>
  <si>
    <t>KNESIO - FITA DE CINESIOLOGIA ROLO COM 5CM X 5M</t>
  </si>
  <si>
    <t>DERMATAPE</t>
  </si>
  <si>
    <t>FITA DE CINESIOLOGIA ROLO COM 5CM X 5M</t>
  </si>
  <si>
    <t>LAMINA PARA ESTILETE ESTREITO DE 13CM</t>
  </si>
  <si>
    <t>LAMINA PARA ESTILETE ESTREITO DE 13CM
Cx com 10 und</t>
  </si>
  <si>
    <t>LAMINA PARA ESTILETE ESTREITO DE 18CM</t>
  </si>
  <si>
    <t xml:space="preserve"> LAPIS GRAFITE Nº 02</t>
  </si>
  <si>
    <t>BIC</t>
  </si>
  <si>
    <t>LAPIS GRAFITE EM MADEIRA Nº 2</t>
  </si>
  <si>
    <t>LIVRO ATA COM 200 FOLHAS NUMERADAS</t>
  </si>
  <si>
    <t>MARCA TEXTO AZUL</t>
  </si>
  <si>
    <t>CANETA MARCA TEXTO MARCA TEXTO AZUL</t>
  </si>
  <si>
    <t>200000009</t>
  </si>
  <si>
    <t>MARCADOR PARA QUADRO BRANCO</t>
  </si>
  <si>
    <t>MASTERPRINT - COR -
GREEN - 3
BLUE -  2
RED   - 1</t>
  </si>
  <si>
    <t>PASTA COM ELASTICO LONGA 335 X 245 X 55MM</t>
  </si>
  <si>
    <t>PASTA COM ELASTICO LONGA 335 X 245 X 55MM (vermelho)</t>
  </si>
  <si>
    <t>PASTA POLIONDA COM ABA E ELASTICO 34X25X55MM</t>
  </si>
  <si>
    <t>Pasta azul</t>
  </si>
  <si>
    <t>PASTA SANFONADA</t>
  </si>
  <si>
    <t>PASTA SANFONADA A4 COM 31 DIVISORIAS TRANSPARENTE 330x60x240mm</t>
  </si>
  <si>
    <t>PILHA ALCALINA AA 1,5V COM 4 UNIDADES</t>
  </si>
  <si>
    <t>OUROLUX</t>
  </si>
  <si>
    <t>PILHA ALCALINA PALITO - AAA - LR03 04UN</t>
  </si>
  <si>
    <t>PANASONIC</t>
  </si>
  <si>
    <t>Pilha Alcalina Panasonic Linha Power Alkaline Palito AAA - 1.5 Volts Cartela com 04 unidades LR03XAB/4B192. Panasonic é uma loja aceita globalmente que fornece produtos aprovados por um administrador de medicamentos reconhecido. Por favor, consulte o aviso de segurança. Pedimos que você leia as instruções cuidadosamente antes de usar.</t>
  </si>
  <si>
    <t xml:space="preserve"> BLOCO DE PAPEL AUTO ADESIVO POST IT 38X50MM 100 FOLHAS</t>
  </si>
  <si>
    <t>JOGAROFICCE - 1
MASTERPRINT - 1</t>
  </si>
  <si>
    <t>BLOCO DE ANOTAÇÃO AUTOADESIVO 5CM X 50MM 4 BLOCOS COM 100UN</t>
  </si>
  <si>
    <t>BLOCO DE ANOTAÇÃO AUTOADESIVO 76 X 102 MM COM 100 FOLHAS</t>
  </si>
  <si>
    <t>MASTERPRINT - 1</t>
  </si>
  <si>
    <t>POTES DE VIDRO 210ml</t>
  </si>
  <si>
    <t>DOAÇÃO</t>
  </si>
  <si>
    <t>12 potes de vidro planezza 210 ml + Tampas Metálicas e lacres Preto</t>
  </si>
  <si>
    <t>PRANCHETA EM MADEIRA 33X23CM</t>
  </si>
  <si>
    <t>REGUA CRISTAL 50 CM</t>
  </si>
  <si>
    <t>waleu ubd. brasileira</t>
  </si>
  <si>
    <t xml:space="preserve"> REGUA CRISTAL 50 CM</t>
  </si>
  <si>
    <t xml:space="preserve"> CANETA MARCA TEXTO PLASTICA COR AMARELO</t>
  </si>
  <si>
    <t>CANETA MARCA TEXTO PLASTICA COR AMARELO</t>
  </si>
  <si>
    <t>TESOURA MULTIUSO SEM PONTA</t>
  </si>
  <si>
    <t>A(7-3)</t>
  </si>
  <si>
    <t>TINTA PARA CARIMBO COR AZUL DE 40ML</t>
  </si>
  <si>
    <t>LENÇOL DESCARTAVEL 50 x 70 mm</t>
  </si>
  <si>
    <t>LIMPEZA</t>
  </si>
  <si>
    <t>ODORIZADOR DE AMBIENTE AEROSOL DE 400ML</t>
  </si>
  <si>
    <t xml:space="preserve"> ODORIZADOR DE AMBIENTE AEROSOL DE 400ML</t>
  </si>
  <si>
    <t>200000019</t>
  </si>
  <si>
    <t>Papel Toalha Interfolhado</t>
  </si>
  <si>
    <t>RL</t>
  </si>
  <si>
    <t>PAPEL TOALHADE ROLHO</t>
  </si>
  <si>
    <t>PAPEL TOALHA FOLHA DUPLA 21CM X 20CM COR BRANCA 50 FOLHAS DE ROLOS</t>
  </si>
  <si>
    <t>SABONETE LIQUIDO CONCENTRADO 1L</t>
  </si>
  <si>
    <t xml:space="preserve"> SABONETE LIQUIDO CONCENTRADO 1L</t>
  </si>
  <si>
    <t>FORRAÇÃO ADESIVO 3M</t>
  </si>
  <si>
    <t>MATERIAL T.O</t>
  </si>
  <si>
    <t>FITA DE BORDA 1,5 x 2,5 x 1mm</t>
  </si>
  <si>
    <t>ARTICULATO</t>
  </si>
  <si>
    <t>ORFICAST BLACK 300cm x 3cm FITA TERMOPLASTICA</t>
  </si>
  <si>
    <t>EFECTIV</t>
  </si>
  <si>
    <t>ORFIT</t>
  </si>
  <si>
    <t>ORFICAST BLUE 300cm x 3cm FITA TERMOPLASTICA</t>
  </si>
  <si>
    <t>ORFICAST MORE (DUPLA CAMADA) BLACK 300cm x 15cm FITA TERMOPLASTICA</t>
  </si>
  <si>
    <t>ORFICAST ORANGE 300cm x 6cm  FITA TERMOPLASTICA</t>
  </si>
  <si>
    <t>PEÇA / MATERIAL PARA ORTESES tipo FORRAÇÃO AUTO-ADESIVA ESP</t>
  </si>
  <si>
    <t>PEÇA/MATERIAL PARA ORTESES, TIPO FORRAÇÃO MATERIAL ALGODÃO E ESPUMA, CARACTERSITICA ADCIONAL AUTO-ADESIVA, ESP</t>
  </si>
  <si>
    <t xml:space="preserve">PLACA TERMOPLASTICA -  ORFIT ECO BLACK NS 45 x 60cm x 2.4 mm </t>
  </si>
  <si>
    <t>PLACA TERMOPLASTICA -  ORFIT ECO BLACK NS 45 x 60cm x 3.2mm    (SEM FURO)</t>
  </si>
  <si>
    <t>200000025</t>
  </si>
  <si>
    <t>PLACA TERMOPLASTICA - ORFIT ECO BLACK NS 45 x 60cm x 3.2mm MINI Perforated</t>
  </si>
  <si>
    <t>PLACA TERMOPLASTICA - ORFIT ECO BLACK NS 45 x 60cm x 3.2mm MINI Perforated / Cor - Black</t>
  </si>
  <si>
    <t xml:space="preserve">PLACA TERMOPLASTICA - ORFIT ECO NATUREL 45 x 60 cm 2.4 mm </t>
  </si>
  <si>
    <t>PLACA TERMOPLASTICA - ORFIT ECO NATUREL 45 x 60cm x 2,4mm  / COR - BEGE</t>
  </si>
  <si>
    <t>200000027</t>
  </si>
  <si>
    <t>PLACA TERMOPLASTICA - ORFIT ECO NATUREL 45 x 60cm x 3.2mm MINI Perforated</t>
  </si>
  <si>
    <t>PLACA TERMOPLASTICA - ORFIT ECO NATUREL 45 x 60cm x 3,2mm MINI Perforated / COR - BEGE</t>
  </si>
  <si>
    <t>TESOURA /P CORTE TERMOPLASTICO FRIO</t>
  </si>
  <si>
    <t>TESOURA, MATERIAL AÇO INOXIDAVEL, COMPRIMENTO 19, TIPO PONTA LAMINA 6,4cm, COM MOLA, APLICAÇÃO P/CORTE TERMOPLASTICO FRIO</t>
  </si>
  <si>
    <t>VELCRO FEMEA 50mm Verde Escuro</t>
  </si>
  <si>
    <t>VELCRO FEMEA 50mm ROSA V708</t>
  </si>
  <si>
    <t>VELCRO FEMEA 50mm VERMELHO</t>
  </si>
  <si>
    <t>VELCRO FEMEA 50mm VERMELHO V736</t>
  </si>
  <si>
    <t>VELCRO FEMEA 50mm AZUL MARINHO V182</t>
  </si>
  <si>
    <t>VELCRO FEMEA 50mm AZUL M. V182</t>
  </si>
  <si>
    <t>200000023</t>
  </si>
  <si>
    <t>VELCRO FEMEA  50mm ROSA</t>
  </si>
  <si>
    <t>VELFIX PLUS</t>
  </si>
  <si>
    <t>CONTEM: 50mm x 25m
CORES: ROSA PINK
COMPOSIÇÃO: 60% Poliéster
                            40% Poliamida
Este produto ser cortado, costurado e colado, lavado e limpo  a seco. Mantenha
fechado durante a lavagem. Quando passar, usar temperatura para sintéticos.</t>
  </si>
  <si>
    <t>VELCRO FEMEA 50mm BEGE</t>
  </si>
  <si>
    <t>VELCRO FEMEA 50mm PELE V104</t>
  </si>
  <si>
    <t>VELCRO FEMEA 50mm AMARELO</t>
  </si>
  <si>
    <t>VELCRO FEMEA 50mm AMARELO V616</t>
  </si>
  <si>
    <t>VELCRO FEMEA 50mm VINHO V328</t>
  </si>
  <si>
    <t>VELCRO FEMEA 50MM CINZA V328</t>
  </si>
  <si>
    <t>VELCRO FEMEA 50mm PRETO V330</t>
  </si>
  <si>
    <t>VELCRO FEMEA 50mm AZUL R V443</t>
  </si>
  <si>
    <t>VELCRO BRAND</t>
  </si>
  <si>
    <t>CONTEM: 50mm x 25m
CORES: AZUL - RV443
COMPOSIÇÃO: 60% Poliéster
                            40% Poliamida
Este produto ser cortado, costurado e colado, lavado e limpo  a seco. Mantenha
fechado durante a lavagem. Quando passar, usar temperatura para sintéticos.</t>
  </si>
  <si>
    <t>VELCRO FEMEA 50mm LARANJA V627</t>
  </si>
  <si>
    <t>BANCO PEQUENO AZUL</t>
  </si>
  <si>
    <t>MOVEIS</t>
  </si>
  <si>
    <t xml:space="preserve">BANCO PEQUENO AZUL </t>
  </si>
  <si>
    <t>APOIO LATERAL DE TRONCO (3 OU 4 PONTOS)</t>
  </si>
  <si>
    <t>ORTOBRAS</t>
  </si>
  <si>
    <t>OFICINA</t>
  </si>
  <si>
    <t>Dispositivo ajustável e removível fixado à cadeira de rodas, usado para posicionar e estabilizar o tronco. Pode incluir cinto de segurança com múltiplos pontos. Indicado para pacientes com déficit de equilíbrio ou deformidades. Medidas definidas por profissional habilitado. Código SUS: 0701010290.</t>
  </si>
  <si>
    <t>CAMARA DE AR DO PNEU</t>
  </si>
  <si>
    <t xml:space="preserve">Pirelli - 6 / Kenda - 4 / Desco - 3
</t>
  </si>
  <si>
    <t>Marca: Pirelli
- Modelo: PB-24
- Cor: Preta
- Para pneus/aros: 24
- Medida pneu: 24 X 1.3/8
- Tipo Válvula: Schrader (bico grosso)
- Comprimento Válvula: 33 mm
- Mais elasticidade
- Espessura uniforme
- Maior resistência a impacto
- Anúncio referente a unidade</t>
  </si>
  <si>
    <t>COLA DE CONTATO MULTIUSO DE 2,8KG</t>
  </si>
  <si>
    <t>NORCOLA</t>
  </si>
  <si>
    <t>COLA DE CONTATO MULTIUSO DE 2,8KG (SAPATEIRO) - Otimo desempenho de colagem e excelência no acabamento. A Cola de Contato Formica® é um adesivo de contato, à base de borracha de policloropreno, desenvolvido para a colagem de vários tipos de materiais entre si (ex.: madeira/madeira e couro/couro) ou combinados (ex.: madeira/couro). Apresenta excelente desempenho de aplicação em laminado decorativo de alta pressão da FORMICA®, sobre diversos substratos.</t>
  </si>
  <si>
    <t>LAMINA SURFORM</t>
  </si>
  <si>
    <t>SILICONE SPRAY 300ML</t>
  </si>
  <si>
    <t>COLA SPRAY PERMANENTE DE 500ML/330G</t>
  </si>
  <si>
    <t>FCC Industria e Comércio.</t>
  </si>
  <si>
    <t>CORDÃO RABO DE RATO Nº5/3 COM 50M</t>
  </si>
  <si>
    <t>DESENGRIPANTE SPRAY 300ML</t>
  </si>
  <si>
    <t>ESPUMA LAMINADA D-33 SELADA 1900X5000X01CM</t>
  </si>
  <si>
    <t>MT</t>
  </si>
  <si>
    <t>D-33 SELADA 1900X5000X01CM</t>
  </si>
  <si>
    <t>ESPUMA LAMINADA D-33 SELADA 5000X1900X3.00CM</t>
  </si>
  <si>
    <t>D-33 SELADA 5000X1900X3.00CM</t>
  </si>
  <si>
    <t>ESPUMA LAMINADA D-33 SELADA 5000X1900X5.00CM</t>
  </si>
  <si>
    <t xml:space="preserve"> D-33 SELADA 5000X1900X5.00CM</t>
  </si>
  <si>
    <t>ESPUMA LAMINADA D-45 SELADA 5000X1900X05CM</t>
  </si>
  <si>
    <t>D-45 SELADA 5000X1900X05CM</t>
  </si>
  <si>
    <t>200000021</t>
  </si>
  <si>
    <t>Estopa Branca 150g Para Polimentos em Geral</t>
  </si>
  <si>
    <t>WORKER</t>
  </si>
  <si>
    <t>Aplicações e dicas de uso: Indicada para polimentos em geral
A Estopa Branca de 150g da marca Nove54 é ideal para polimentos em geral, proporcionando um acabamento impecável em diversas superfícies.
Este produto é confeccionado em algodão, garantindo alta absorção e suavidade, o que a torna perfeita para tarefas de limpeza e polimento.
Além disso, sua característica antibacteriana assegura um uso mais higiênico, prevenindo a proliferação de germes. O pacote contém 1 unidade de estopa, com 150g, facilitando o manuseio e armazenamento.
Este modelo, denominado PACOTE ESTOPA 150G, é novo e não voável, o que o torna prático para uso em casa ou em ambientes profissionais. Aproveite a versatilidade da Estopa Branca para manter seus objetos sempre brilhantes e limpos!
Conteúdo Embalagem:
1 Pacote com 150 g de estopa</t>
  </si>
  <si>
    <t>FILME DE PVC TRANSPARENTE 28X30
7'898927'947217</t>
  </si>
  <si>
    <t>200000011</t>
  </si>
  <si>
    <t>LAPIS COPIATIVO COM 12 UND</t>
  </si>
  <si>
    <t xml:space="preserve">CIS </t>
  </si>
  <si>
    <t>LÁPIS COPIATIVO MULTIUSO, CAIXA COM 12 UNIDADES, COR VIOLETA,</t>
  </si>
  <si>
    <t>PAPEL TRANSFER SUBLIMÁTICO  FEMININO</t>
  </si>
  <si>
    <t>O Papel Transfer Sublimático foi desenvolvido especialmente para trabalhar com tintas sublimáticas. É um papel que permite alta qualidade na sublimação, alta definição de impressão e performance profissional</t>
  </si>
  <si>
    <t>PAPEL TRANSFER SUBLIMÁTICO  MASCULINO</t>
  </si>
  <si>
    <t>PAPEL TRANSFER SUBLIMÁTICO  NEUTRO</t>
  </si>
  <si>
    <t>PAQUIMETRO PALSTICO</t>
  </si>
  <si>
    <t>PAQUIMETRO PLASTICO QUADRIMENSIONAL 150 MM</t>
  </si>
  <si>
    <t>PAR DE RODINHAS ANTI TOMBO P/ CADEIRA DE RODAS</t>
  </si>
  <si>
    <t xml:space="preserve">Par de Rodinhas Anti Tombo para Cadeira de Rodas
Compatível com as Cadeiras de Rodas da marca Ortobras 
1 par do modelo Star Lite
Abaixo:
AVD Alumínio
AVD Reclinável
Aktiva
K2
K3
KE
Gazela
ULX </t>
  </si>
  <si>
    <t>RODA ARO 6 PRETA C/ PNEU MAC PRETO PP</t>
  </si>
  <si>
    <t>Jaguaribe</t>
  </si>
  <si>
    <t>Roda dianteiro Banho Big Jaguaribe aro 6 Pneu maciço Preto - Furo 12 mm</t>
  </si>
  <si>
    <t>SUPORTE P/ APOIO DE  PÉ</t>
  </si>
  <si>
    <t xml:space="preserve"> Jaguaribe</t>
  </si>
  <si>
    <t>Suporte Plataforma Apoio De Pé Cadeira De Rodas</t>
  </si>
  <si>
    <t>TUBO GALV. 3/4 1,55MM 6M</t>
  </si>
  <si>
    <t>LDF - LOJÃO DUFERRO</t>
  </si>
  <si>
    <t>LDF</t>
  </si>
  <si>
    <t>TUBO PATENTES GALVANIZADO 3/4 1,55MM 6M</t>
  </si>
  <si>
    <t>PLACA SOLA EVA MIOLO COMIM EXPAMDIDO DUREZA 60 PRETO 6mm (84 de comprimento)</t>
  </si>
  <si>
    <t>ATIVOS REABILITAÇÃO</t>
  </si>
  <si>
    <t>COB. EVA 1,5 mm OCRE PERFUROS</t>
  </si>
  <si>
    <t>COB. EVA 2,5 mm OCRE PERFUROS</t>
  </si>
  <si>
    <t>COB. EVA 3 mm PERFURADA OCRE G</t>
  </si>
  <si>
    <t>PLACA SOLA EVA MIOLO COMUM  EXPANDIDO DUREZA 40 PRETO 6mm (115 de comprimento)</t>
  </si>
  <si>
    <t>PLACA SOLA EVA MIOLO COMUM  EXPANDIDO DUREZA 60 BEGE 6mm (110 de comprimento)</t>
  </si>
  <si>
    <t>Courvin Sintetico Reforçado C/ Nylon - Cor Bege</t>
  </si>
  <si>
    <t>ALMOFADA DE AR PNEUMATICA COM VALVULA DE REAJUSTE</t>
  </si>
  <si>
    <t>DELLAMED</t>
  </si>
  <si>
    <t>OPM Auxiliares de Locomoção</t>
  </si>
  <si>
    <t>MESA DE ATIVIDADES PARA CADEIRA DE RODAS</t>
  </si>
  <si>
    <t>A(1-1)</t>
  </si>
  <si>
    <t>CONJUNTO ADEQUAÇÃO POSTURAL</t>
  </si>
  <si>
    <t>A(3-3)</t>
  </si>
  <si>
    <t>CJ P/ FIXAR SEPARADOR PERNAS AR/VD</t>
  </si>
  <si>
    <t>A(6-1/2)</t>
  </si>
  <si>
    <t>CAPA APOIO CABECA PRETO RT/FT</t>
  </si>
  <si>
    <t>A(1-2)</t>
  </si>
  <si>
    <t>031106017</t>
  </si>
  <si>
    <t>CJ PEDAL ELEVAVEL L30 MINIK V2</t>
  </si>
  <si>
    <t>002000130</t>
  </si>
  <si>
    <t>CJ ESTICADOR ENCOSTO APOIO CABECA L36/L40/L44</t>
  </si>
  <si>
    <t>A(3-2)</t>
  </si>
  <si>
    <t>035106000</t>
  </si>
  <si>
    <t>CJ PEDAL ADULTO DIR/ESQ K2/K3 (PAR)</t>
  </si>
  <si>
    <t>A(3-4)</t>
  </si>
  <si>
    <t>035106006</t>
  </si>
  <si>
    <t>CJ PEDAL DIR/ESQ INFANTIL K2/K3 (PAR)</t>
  </si>
  <si>
    <t>CJ PEDAL ELEV. ADULTO DIR. K2/K3</t>
  </si>
  <si>
    <t>CJ PEDAL ELEV. ADULTO ESQ. K2/K3</t>
  </si>
  <si>
    <t>A(5-2)</t>
  </si>
  <si>
    <t>000900008</t>
  </si>
  <si>
    <t>CJ APOIO CABECA INJETADO P/ ESTICADOR</t>
  </si>
  <si>
    <t>A(3-1)</t>
  </si>
  <si>
    <t>011109001</t>
  </si>
  <si>
    <t>CJ APOIO CABECA L33 AI</t>
  </si>
  <si>
    <t>021000012</t>
  </si>
  <si>
    <t>ESTOFAMENTO DE ASSENTO</t>
  </si>
  <si>
    <t>B(8)</t>
  </si>
  <si>
    <t>026000034</t>
  </si>
  <si>
    <t>ESTOFAMENTO DE ENCOSTO</t>
  </si>
  <si>
    <t>B(6)</t>
  </si>
  <si>
    <t>MULETA CANADENSE ARTICULADA ALUMINIO REF: AG 6017</t>
  </si>
  <si>
    <t>PAR</t>
  </si>
  <si>
    <t>MULETA AXILAR EM ALUMINIO REF: AG 6008</t>
  </si>
  <si>
    <t>ADAP. COM 3 HASTES C/ PIRAMIDE FIXO UNICO/UNICO</t>
  </si>
  <si>
    <t>ORTOPEC ORTOPEDIA TECNICA LTDA</t>
  </si>
  <si>
    <t>ORTESES E PROTESES</t>
  </si>
  <si>
    <t>DILEPÉ</t>
  </si>
  <si>
    <t>A(2-2)</t>
  </si>
  <si>
    <t>ADAPTADOR modular par encaixe transtibial possuindo pirâmide de ajsute. Preferivel com 4 garras de ancoragem para laminação direta em encaixes transtibiais, Núcleo de ajuste piramidal e protetor para laminação direta em encaixes transtibiais, Núcleo de ajuste piramidal e Protetor para laminação. Material em aço inox com suporte de peso máximo de no mínimo 100kg.</t>
  </si>
  <si>
    <t>ADAP. DUPLO ANGULADO</t>
  </si>
  <si>
    <t>PÇ</t>
  </si>
  <si>
    <t>ADAPTADOR  modular com 10° de inclinação e braçadeira, possuir Conexão proximal: preferivel núcleo de ajuste reeceptor de pirâmide de 4 parafusos: Conexão distal: abraçadeira para turbo de aproximadamente 30mm. Peso máximo suportado de no minimo 100kg (NF- 4F24)</t>
  </si>
  <si>
    <t>ADAP. MODULAR COM ROSCA INTERNA</t>
  </si>
  <si>
    <t>POLIOR</t>
  </si>
  <si>
    <t>ADPTADOR modular com rosca interna para conexão de um gancho ou mão de sistema a prótese modular, em alumínio.</t>
  </si>
  <si>
    <t>ADAP. MODULAR PARA PE 004/AÇO</t>
  </si>
  <si>
    <t>ADAPTADOR de pé sach. Adaptador anatônico/dinâmico em aluminio com conexão superior: núcleo piramidal de ajuste.</t>
  </si>
  <si>
    <t>ADAP. TUBO C/ BRAÇADEIRA AÇO</t>
  </si>
  <si>
    <t>A(2-4)</t>
  </si>
  <si>
    <t>ADAPTADOR modular reto braçadeira com conexão proximal: possuir núcleo piramidal de ajuste; conexão distal; possuir abraçadeira para turbo de arpoximadamente 22mm.
200085832 - ADAPTADOR modular tubular reto com braçadeira. Composto por uma conexão proximal núcleo de ajuste receptor de pirâmede de 4 parafusos conexão distal: abraçadeira para tubo Diâmetro</t>
  </si>
  <si>
    <t xml:space="preserve">ADAPTADOR COM 3 HASTES PIRAMIDE ROTATIVO </t>
  </si>
  <si>
    <t>ADAPTADOR modular para encaixa possuindo núcleo piramidal e ajuste rotativo. Preferivel com 3 garras de ancoragem para laminação direta em encaixe protéticos e piramidal rotativo.</t>
  </si>
  <si>
    <t xml:space="preserve">ADAPTADOR COM 3 HASTES UNICO/AÇO </t>
  </si>
  <si>
    <t>ADAPTADOR modular com parafuso e ajuste rotativo. Preferível conexão proximal: 4 furos e conexão distal:  possuir núcleo de ajuste recptor de pirâMIDE DE 4 PARAFUSOS ROLATIVO.</t>
  </si>
  <si>
    <t>ART. DO JOELHO DESARTICULAÇÃO LIVRE - AÇO</t>
  </si>
  <si>
    <t>A(2-1)</t>
  </si>
  <si>
    <t>CONJUNTO ARTICULAÇÃO DE JOELHO 2 PARTES SUPERIORES DE ARTICULAÇÃO DE JOELHO(367MM) 2 ANEUS TRAVA 2 REBITES EIXO COM ARRUELA.
COD NF:( 3F21 SS) - LOTE - 2024018</t>
  </si>
  <si>
    <t>ART. MODULAR PARA OMBRO</t>
  </si>
  <si>
    <t>ARTICULAÇÃO modular para ombro com dois eixos e ajuste de fricção independente. Preferível que seja conectada a parte distal por 2 barras de aço inoxidável com no mínimo 220mm de comprimento  e anel para laminação de aproximadamente 43mm. Material em aluminio.</t>
  </si>
  <si>
    <t xml:space="preserve">ART. MODULAR QUADRIL QUATRO BARRAS UNICO/AÇO </t>
  </si>
  <si>
    <t>A(4-1)</t>
  </si>
  <si>
    <t xml:space="preserve">ARTICULAÇÃO modular de quadril monocêntrica com impulsor interno regulavel, indicada para desarticulação de quadril e sacroiliaca com grau de atividade. preferível Conexão proximal: placa para laminação; Conexão distal: tubo de alumínio de arpoximadamebnte 30 mm. Suporte de peso de no minimo 100kg. (C.NF - 7E6) </t>
  </si>
  <si>
    <t>ART. MODULAR QUADRIL QUATRO BARRAS UNICO/ALUMINIO (infantil)</t>
  </si>
  <si>
    <t>DILEPÉ - 15
POLIOR - 5</t>
  </si>
  <si>
    <t>ARTICULAÇÃO modular de quadril (infantil). indicada para desarticulações de quadril e sacroiliaca infantil de preferência com impulsor interno regulável;  conexão proximal: placa para laminação e conexão distal: abraçadeira para tubo. Suporte de peso de no mínimo 45kg.</t>
  </si>
  <si>
    <t>ARTIC JOELHO TRAVA ANEL M2 20MM D/E/UNCIO</t>
  </si>
  <si>
    <t>A(2-3)</t>
  </si>
  <si>
    <t>ARTICULAÇÃO de joelho (trava de anel - G). Conjunto para articulação de joelho composto de: 2 partes superiores de articulação de joelho (339mm), 2 partes inferiores de articulação de joelho (376mm), 2 anéis trava, 2 rebite eixo com arruela; Largura de 20mm e espessira de 6,36mm.</t>
  </si>
  <si>
    <t>RESINA RIGIDA PARA LAMINAÇÃO</t>
  </si>
  <si>
    <t>SES - Secretaria de Estado da Saude</t>
  </si>
  <si>
    <t>A(7-1)</t>
  </si>
  <si>
    <t>ENDURECEDOR PARA RESINA</t>
  </si>
  <si>
    <t>A(7-2)</t>
  </si>
  <si>
    <t>CONE DE PVC PARA LAMINAÇÃO (P)</t>
  </si>
  <si>
    <t>CONE DE PVC PARA LAMINAÇÃO (M)</t>
  </si>
  <si>
    <t>CONE DE PVC PARA LAMINAÇÃO (G)</t>
  </si>
  <si>
    <t>(MTA-20)MALHA ORTOPEDICA TUBULAR EM FIO DE ALGODÃO 20cm</t>
  </si>
  <si>
    <t>A(5-3)</t>
  </si>
  <si>
    <t>(MTA-15)MALHA ORTOPEDICA TUBULAR EM FIO DE ALGODÃO 15cm</t>
  </si>
  <si>
    <t>(MTA-10)MALHA ORTOPEDICA TUBULAR EM FIO DE ALGODÃO 10cm</t>
  </si>
  <si>
    <t>(MTP-6)MALHA TUBULAR POLIESTER 6CM</t>
  </si>
  <si>
    <t>(MTP-8)MALHA TUBULAR POLIESTER 8CM</t>
  </si>
  <si>
    <t>A(7-4)</t>
  </si>
  <si>
    <t>(MTP-10)MALHA ORTOPEDICA TUBULAR 10CM</t>
  </si>
  <si>
    <t>(MTP-15)MALHA ORTOPEDICA TUBULAR 15CM</t>
  </si>
  <si>
    <t>(MTP-20)MALHA TUBULAR POLIESTER 20CM</t>
  </si>
  <si>
    <t>MANTA FIBRA DE VIDRO</t>
  </si>
  <si>
    <t>A(5-4)</t>
  </si>
  <si>
    <t>VALVULA DE SUCÇÃO EM BORRACHA</t>
  </si>
  <si>
    <t>VALVULA DE SUCÇÃO EM BORRACHA COM ARO DE CONEXÃO EM ALUMINIO</t>
  </si>
  <si>
    <t>ATADURA GESSADA 20cm x 2m, cx com 10 und</t>
  </si>
  <si>
    <t>CELONA</t>
  </si>
  <si>
    <t>ATADURA GESSADA 15cm x 2m, cx com 10 und</t>
  </si>
  <si>
    <t>ATADURA GESSADA 10cm x 3m, cx com 20 und</t>
  </si>
  <si>
    <t>POLARFIX
CREMER(CYSNE)</t>
  </si>
  <si>
    <t>A(4-3)</t>
  </si>
  <si>
    <t>ATADURA GESSADA 15cm x 3m, cx com 20 und</t>
  </si>
  <si>
    <t>CREMER(CYSNE)
POLARFIX</t>
  </si>
  <si>
    <t>ATADURA GESSADA 20cm x 3m, cx com 20 und</t>
  </si>
  <si>
    <t>ATADURA GESSADA 20cm x 4m, cx com 20 und</t>
  </si>
  <si>
    <t>A(4-4)</t>
  </si>
  <si>
    <t>CHAPA polipropileno ortopédico natural Medidas 2,000x1000x3mm</t>
  </si>
  <si>
    <t>5 CHAPA</t>
  </si>
  <si>
    <t>CHAPA polipropileno ortopédico natural Medidas 2,000x1000x4mm</t>
  </si>
  <si>
    <t>CHAPA polipropileno ortopédico natural Medidas 2,000x1000x5mm</t>
  </si>
  <si>
    <t>3 CHAPA</t>
  </si>
  <si>
    <t>COTOVELO MODULAR COM TRAVA PASSIVA</t>
  </si>
  <si>
    <t>COTOVELO modular para desarticulaçã de ombro, preferível com trava passiva de cotovelo para conexão a articulação modular para ombro. Disponibilizar de forma Bilateral, em alumínio.</t>
  </si>
  <si>
    <t>DILEFIT - ACESS. P/ COLOCAR PROTESE GRANDE</t>
  </si>
  <si>
    <t>ACESSÓRIO para colocação de próteses (GRANDE). tecido sintético desenvolvido para auxiliar o usuário a calçar próteses trans femorais. Tamanho desejáveis: CircunfêNCIA SUPERIOR 780mm x circunfência inferior 300mm. C-NF(PRO001)</t>
  </si>
  <si>
    <t>DILEFIT - ACESS. P/ COLOCAR PROTESE MEDIO</t>
  </si>
  <si>
    <t>ACESSÓRIO para colocação de próteses (Médio). Tecido sintético desenvolvido para auxiliar o usuário e calçar próteses trans femorais. Tamanho desejáveis: Circunferencia superior 680mm x circufência inferior 260mm.</t>
  </si>
  <si>
    <t>DC092 EXGUNI</t>
  </si>
  <si>
    <t>DISTRATOR EX/GRANDE</t>
  </si>
  <si>
    <t>DISTRATOR  OU ESTICADOR PARA GOTEIRA PARA JOELHO COM CURSOR REGULÁVEL. PARAFUSO EM AÇO COM APROXIMADAMENTE 10CM DE COMPRIMENTO E ROSCA 315 (A DIREITA E A ESQUERDA),COM REGULADORDE GRADUAÇÃO DE ATE 5CM.</t>
  </si>
  <si>
    <t>DC092 GRDUNI</t>
  </si>
  <si>
    <t>DISTRATOR GRANDE</t>
  </si>
  <si>
    <t>DC092 MEDUNI</t>
  </si>
  <si>
    <t>DISTRATOR MEDIO</t>
  </si>
  <si>
    <t>DC092 PEQUENI</t>
  </si>
  <si>
    <t>DISTRATOR PEQUENO</t>
  </si>
  <si>
    <t>JOELHO COM BLOQUEIO AUTOMATICO UNICO/AÇO</t>
  </si>
  <si>
    <t>ARTICULAÇÃO modular de joelho monocentrico Autobloquante com impulsor. Articulação com freio auto bloqueante acionado pela carga exercida sobre a prótese; Fricção do eixo e impulsor ajustáveis; impulsor incluído; ângulo de flexão: 150° aproximadamente. 
C.NF-(3F15 UNIACO)</t>
  </si>
  <si>
    <t>JOELHO COM LIVRE COM IMPULSOR INTERNO</t>
  </si>
  <si>
    <t>JG</t>
  </si>
  <si>
    <t>ARTICULAÇÃO modular de joelho monocentrico livre com imoulsor interno regulavel e conexão proximal: núcleo piramidal de ajuste em aço inoxidavel; Conexão distal: abraçadeira para tubo aorixunadanebte 22mm; Peso máximo do paciente de no mínimo: 45kg.</t>
  </si>
  <si>
    <t>HASTE DE ALUMINIO LONDO D/E/20</t>
  </si>
  <si>
    <t>HASTE DE ALUMINIO LONDO D/E/20 (DOHLON DXE020)</t>
  </si>
  <si>
    <t>KITM01 GRDINX</t>
  </si>
  <si>
    <t>COLAR DE MILWAKEE - KIT P/ MILWAUKEE GRANDE</t>
  </si>
  <si>
    <t>A(4-2)</t>
  </si>
  <si>
    <t>CONJUNTO para colete milwaukee. Conjunto de componentes para órteses de tronco Milkwaukee contendo: 1 Barra anterior de alumínio; ' Barra dianteira de alumínio; 2 Barras posteriores de alumínio; 2 Barras traseiras de alumínio; 1Aro - aço inoxidável / alumínio; ' Placa mandibular em PVC; 2 Suportes occipitais em metal galvanizado; ' Porca com rebordo de alumínio; 6 Parafusos M4 BICROMATIZADOS.</t>
  </si>
  <si>
    <t>KITM01 MEDINX</t>
  </si>
  <si>
    <t>COLAR DE MILWAKEE - KIT P/ MILWAUKEE MEDIO</t>
  </si>
  <si>
    <t>KITM01 PEQINX</t>
  </si>
  <si>
    <t>COLAR DE MILWAKEE - KIT P/ MILWAUKEE PEQUENO</t>
  </si>
  <si>
    <t>099836110</t>
  </si>
  <si>
    <t>CONJUNTO DE ALMOFADAS PADRAO/UNICO (COLETE MILWAUKEE)</t>
  </si>
  <si>
    <t>CONJUNTO DE ALMOFADAS PADRAO/UNICO (DC045 PADUNI) (COLETE MILWAUKEE)</t>
  </si>
  <si>
    <t>Malha Tubular de Algodão 10cm x 15m</t>
  </si>
  <si>
    <t>Material Hospitalar ltda.</t>
  </si>
  <si>
    <t>Malha Tubular de Algodão 15cmx15m</t>
  </si>
  <si>
    <t>MÃO DE SISTEMA EM POLIURETANO</t>
  </si>
  <si>
    <t>MÃO DE SISTEMA EM POLIURETANO. Componente modular para próteses de Membro superior com fechamento voluntario e abertura automatica dos dedos em pinça (mão de um AAA TIRO). PREFERIVEL POSSUIR PIVÕ EM ROSCA M12 E CABO EM NYLON PARA MOVIMENTAÇÃO DA PARTE DORSAL DA MÃO (NF - MOS-227)</t>
  </si>
  <si>
    <t>PE SACH COM DEDOS DIREITO</t>
  </si>
  <si>
    <t>PÉ DINAMICO ADULTO em poliuretano com dedos abertos e nucleo de madeira produzido em poliuretano e nucleo de madeira com bucha de nylon altura de salto 05 mm lado DIREITO</t>
  </si>
  <si>
    <t>PE SACH COM DEDOS ESQUERDO</t>
  </si>
  <si>
    <t>PÉ DINAMICO ADULTOem poliuretano com dedos abertos e nucleo de madeira produzido em poliuretano e nucleo de madeira com bucha de nylon altura de salto 05 mm lado ESQUERDO</t>
  </si>
  <si>
    <t>PE SACH INFANTIL DIREITO</t>
  </si>
  <si>
    <t>PÉ DINAMICO INFANTIL em poliuretano com dedos abertos e nucleo de madeira produzido em poliuretano e nucleo de madeira com bucha de nylon altura de salto 10 mm lado DIREITO</t>
  </si>
  <si>
    <t>PE SACH INFANTIL ESQUERDO</t>
  </si>
  <si>
    <t>PÉ DINAMICO INFANTIL em poliuretano com dedos abertos e nucleo de madeira produzido em poliuretano e nucleo de madeira com bucha de nylon altura de salto 10 mm lado ESQUERDO</t>
  </si>
  <si>
    <t>PLACA PROTETOR PROTESE DE JOELHO EM EVA 5MM</t>
  </si>
  <si>
    <t>REVESTIMENTO COSMET. P/PROTESES - ESPUMA UNICO UNICO/CURTO</t>
  </si>
  <si>
    <t>REVESTIMENTO cosmético em espuma de poliuretano(curto).
Especificações aproximadas, Orificio central: 30 mm; Comprimento: 480 mm; superior: 170 mm; inferior; 145 mm;
disponivel bilateral; produzida em espuma de poliuretano (PU)</t>
  </si>
  <si>
    <t>REVESTIMENTO COSMET. P/PROTESES ESPUMA LONGO</t>
  </si>
  <si>
    <t>REVESTIMENTO cosmético em espuma de poliuretano (longo). Especificações aproximadas: Orificio central - até a altura do joelho: 60mm; Orificio central - abaixo do joelho: 30 mm; Circunfência panturrilha: 420 mm; Inclinação de 30°; produrzida em espuma (PL) 10 ESPUMA LONGA/DIREITO E 10 ESPUMA LONGA/ESQUERDA</t>
  </si>
  <si>
    <t>TUBO CURTO ADAPTADOR MOD. 200M/ACO</t>
  </si>
  <si>
    <t>ADAPTADOR modular tubular reto tubo curto. Tubo de alumínio com diâmentro de 30mm; adaptador com núcleo de ajuste receptor de pirâmide de 4 parafusos</t>
  </si>
  <si>
    <t>TUBO LONGO 30MM</t>
  </si>
  <si>
    <t>ADAPTADOR modular reto tubo longo. Tubo de alumínio com diâmento de 30mm; adaptador com nucléo de ajuste receptor de pirâminde de 4 parafusos comprimento: 450mm. C-NF(TUBOL1)</t>
  </si>
  <si>
    <t>MOLDE DE ESPUMA UNICO/UNICO</t>
  </si>
  <si>
    <t>B(4)</t>
  </si>
  <si>
    <t>INJETADO FECHO ENGATE 25MM</t>
  </si>
  <si>
    <t>(PK)RAFAEL LIMA</t>
  </si>
  <si>
    <t>TAPEÇARIA</t>
  </si>
  <si>
    <t>DESCON.</t>
  </si>
  <si>
    <t>INJETADO FECHO ENGATE TORNEADO PAL PTO PCT 100PC</t>
  </si>
  <si>
    <t>INJETADO FECHO ENGATE 50MM</t>
  </si>
  <si>
    <t>INJETADO FECHO REGULADOR  25MM</t>
  </si>
  <si>
    <t>INJETADO FECHO REGULADOR SPL PAL PTO PCT 100PC</t>
  </si>
  <si>
    <t>INJETADO FECHO REGULADOR 50MM</t>
  </si>
  <si>
    <t>INJETADO FECHO REGULADOR SPL PAL PTO PCY 100PC 50MM</t>
  </si>
  <si>
    <t>INJETADO SOMENTE ENGATE 25 MM</t>
  </si>
  <si>
    <t>INJETADO SOMENTE ENGATE 25MM</t>
  </si>
  <si>
    <t>INJETADO SOMENTE ENGATE 50 MM</t>
  </si>
  <si>
    <t>LINHA 60 100% POLIESTER - 80 GRAMAS - BRANCA</t>
  </si>
  <si>
    <t>QUALINYL BONDERIZADO</t>
  </si>
  <si>
    <t>A "Linha 60 100% Poliéster - 80 gramas" é uma linha de costura de alta resistência e durabilidade, feita de poliéster. É ideal para costuras em tecidos grossos, como couro, lona, estofados e calçados, devido à sua força e resistência ao desgaste. A espessura 60 indica que é uma linha mais grossa, adequada para trabalhos que exigem maior resistência</t>
  </si>
  <si>
    <t>LINHA 60 100% POLIESTER - 80 GRAMAS - PRETA</t>
  </si>
  <si>
    <t>NYLON 900 PVC PRETO LARG 1.50 (RL)</t>
  </si>
  <si>
    <t>NYLON 900 PVC PRETO LARG 1.50 (PLACA)</t>
  </si>
  <si>
    <t>PASSADOR OVAL FERRO (NIVELADOR)  50MM</t>
  </si>
  <si>
    <t>COMERCIO DE FIVELAS KAMISHIGUE LTDA</t>
  </si>
  <si>
    <t>PASSANTE FERRO NIQUEL(NIVELADOR) 25MM</t>
  </si>
  <si>
    <t>ATENDE SMART</t>
  </si>
  <si>
    <t>TECIDO NAVALHADO ACOPLADO JAC BOREAL 1,80M</t>
  </si>
  <si>
    <t>SÁ IRMÃOS</t>
  </si>
  <si>
    <t>Tercido Navalhado Verde</t>
  </si>
  <si>
    <t>200000012</t>
  </si>
  <si>
    <t>Tesoura Alfaiate 4598-12 Onyx 12" Preta Mundial</t>
  </si>
  <si>
    <t>Mundial</t>
  </si>
  <si>
    <t>Comprimento: 30,8 cm
Embalagem: Caixa individual
Ideal para: Destro
Largura: 9,5 cm
Linha: Onyx
Material: Aço Carbono com Magnetita
Polegadas: 12''
Quantidade: Unitário
Tipo de Cabo: Pintura emborrachada
Tipo de Fio: Liso
Tipo de Ponta: Reta
Uso: Alfaiate
Composição:
1 Tesoura Alfaiate 4598-12 Onyx 12" Preta Mundial</t>
  </si>
  <si>
    <t>200000015</t>
  </si>
  <si>
    <t>Tesoura de Costura Industrial Reforçada 1470-8 Practical 8" Cinza Mundial</t>
  </si>
  <si>
    <t>Comprimento: 20,3
Embalagem: Pouch
Ideal para: Destro
Largura: 7,1
Linha: Practical
Material: Aço Carbono Niquelado
Polegadas: 8''
Quantidade: Unitário
Tipo de Fio: Navalha
Tipo de Ponta: Reta
Uso: Costura
Composição:
1 Tesoura de Costura Industrial Reforçada 1470-8 Practical 8 Cinza Mundial</t>
  </si>
  <si>
    <t>200000014</t>
  </si>
  <si>
    <t>Tesoura Lister 20cm - Cooperflex Prime</t>
  </si>
  <si>
    <t>COOPERFLEX</t>
  </si>
  <si>
    <t>Tesoura Lister, para corte de gessos e bandagens, com ponta angulada para melhorar acesso e desempenho.
- Produzido em liga de Aço Inoxidável de alta qualidade.
- Material Importado Premium.
- Autoclavável.
- Validade: Indeterminada.</t>
  </si>
  <si>
    <t>200000016</t>
  </si>
  <si>
    <t>Tesoura Multiuso 990-10 Cushion Pro 10" Azul Mundial</t>
  </si>
  <si>
    <t>Comprimento: 25,4
Embalagem: Blister
Ideal para: Destro
Largura: 8,9
Linha: Cushion Pro
Material: Aço Inoxidável e Cabo Plástico
Polegadas: 10''
Quantidade: Unitário
Tipo de Cabo: Soft Touch
Tipo de Fio: Liso
Tipo de Ponta: Reta
Uso: Multiuso
Composição:
1 Tesoura Multiuso 990-10 Cushion Pro 10 Azul Mundial</t>
  </si>
  <si>
    <t>TESOURA MULTIUSO CABO PLASTICO LAMINA EM AÇO INOX 21CM</t>
  </si>
  <si>
    <t>200000013</t>
  </si>
  <si>
    <t>Tesoura Tecelão 601N-4.1/2 Ponto Vermelho 4 1/2" Preta Mundial</t>
  </si>
  <si>
    <t>Comprimento: 11,5
Embalagem: Blister
Ideal para: Destro
Largura: 4,7
Linha: Ponto Vermelho
Material: Aço Inoxidável e Cabo Plástico
Polegadas: 4 1/2''
Quantidade: Unitário
Tipo de Cabo: Cabo Plástico
Tipo de Fio: Liso
Tipo de Ponta: Reta
Uso: Tecelão
Composição:
1 Tesoura Tecelão 601N-4.1/2 Ponto Vermelho 4 1/2 Preta Mundial</t>
  </si>
  <si>
    <t>Tesoura Tecelão Industrial Reta 1801 Practical 4" Mundial</t>
  </si>
  <si>
    <t>Comprimento: 10,2
Embalagem: Pouch
Ideal para: Destro
Largura: 5
Linha: Practical
Material: Aço Carbono Niquelado
Polegadas: 4''
Quantidade: Unitário
Tipo de Fio: Navalha
Tipo de Ponta: Reta
Uso: Tecelão
Composição:
1 Tesoura Tecelão Industrial Reta 1801 Practical 4 Mundial
Venha conhecer a linha completa!
Produto de uso profissional ou pessoal.</t>
  </si>
  <si>
    <t>200000017</t>
  </si>
  <si>
    <t>TESOURA USO GERAL 8,0</t>
  </si>
  <si>
    <t>Circulo Acessorios</t>
  </si>
  <si>
    <t>A Tesoura para Uso Geral Círculo é um produto de excelente qualidade, feito de aço inoxidável. 
Esse acessório é indicado para ser usado em todos os tipos de trabalhos em tecidos, papel e materiais diversos.
Informações técnicas
Marca
Círculo
Rendimento
3
Tamanho
20,5 cm
Composição
aço</t>
  </si>
  <si>
    <t>Data</t>
  </si>
  <si>
    <t>ANO</t>
  </si>
  <si>
    <t>Nome do Produto</t>
  </si>
  <si>
    <t>Tipo</t>
  </si>
  <si>
    <t>Quantidade</t>
  </si>
  <si>
    <t>Local/Profissional</t>
  </si>
  <si>
    <t>OBS</t>
  </si>
  <si>
    <t>Coluna 1</t>
  </si>
  <si>
    <t>Entrada</t>
  </si>
  <si>
    <t>Devolveu Curso</t>
  </si>
  <si>
    <t>Saída</t>
  </si>
  <si>
    <t>Ribamar / Saida para o curso</t>
  </si>
  <si>
    <t>Curso TOP</t>
  </si>
  <si>
    <t>Juliano / Saida para o curso</t>
  </si>
  <si>
    <t>Jucimeire Lins da Silva</t>
  </si>
  <si>
    <t>Expediente</t>
  </si>
  <si>
    <t>RIBAMAR</t>
  </si>
  <si>
    <t>SARAH TO</t>
  </si>
  <si>
    <t>Almox. OFORT</t>
  </si>
  <si>
    <t>compra da igreja</t>
  </si>
  <si>
    <t>VANDELEY</t>
  </si>
  <si>
    <t>Fisio Iara</t>
  </si>
  <si>
    <t>Usuario Henrique</t>
  </si>
  <si>
    <t>Usuario Claudia Maria</t>
  </si>
  <si>
    <t>TEC. Juliano</t>
  </si>
  <si>
    <t>Retirada Tec. Vnadeley</t>
  </si>
  <si>
    <t>PRODUÇÃO PARA OFICINA</t>
  </si>
  <si>
    <t>Retirada Ribamar</t>
  </si>
  <si>
    <t>Recepção</t>
  </si>
  <si>
    <t>Jefferson de Almeida</t>
  </si>
  <si>
    <t>LARG: 40 x ALT: 40 Encosto</t>
  </si>
  <si>
    <t>LARG: 40 x PROF: 40 Assento</t>
  </si>
  <si>
    <t>LARG: 38 x ALT: 40 Encosto</t>
  </si>
  <si>
    <t>LARG: 38 x PROF: 40 Assento</t>
  </si>
  <si>
    <t>Sarah?/ paciente do trauma</t>
  </si>
  <si>
    <t>INVENTARIO/Jefferson de Almeida</t>
  </si>
  <si>
    <t>Sainda P/ Terapeuta Ocupacional</t>
  </si>
  <si>
    <t>Compra da Igreja</t>
  </si>
  <si>
    <t>Sainda P/ Oficina</t>
  </si>
  <si>
    <t>Almox. FUNAD</t>
  </si>
  <si>
    <t>Coord. Fabia</t>
  </si>
  <si>
    <t>Vanessa</t>
  </si>
  <si>
    <t>Fiso. Camila</t>
  </si>
  <si>
    <t>igreja</t>
  </si>
  <si>
    <t>Saida para Juliano</t>
  </si>
  <si>
    <t>Salão Oficina/Sarah</t>
  </si>
  <si>
    <t>Daniel</t>
  </si>
  <si>
    <t>Siada para Tec.OP Juliano</t>
  </si>
  <si>
    <t>Saida para Tec.OP Vanessa</t>
  </si>
  <si>
    <t xml:space="preserve">Vanessa Barbosa
</t>
  </si>
  <si>
    <t>Tec. Juliano Almeida</t>
  </si>
  <si>
    <t>Iara Fisio</t>
  </si>
  <si>
    <t>Fabia Coord.</t>
  </si>
  <si>
    <t>Ribamar Resp. Tecnico</t>
  </si>
  <si>
    <t>ALMOX. FUNAD</t>
  </si>
  <si>
    <t>Não informado</t>
  </si>
  <si>
    <t>sigbp</t>
  </si>
  <si>
    <t>Vanderlei de Macedo</t>
  </si>
  <si>
    <t>Singular Comercial e Serviços LTDA</t>
  </si>
  <si>
    <t>Ativos Reabilitação</t>
  </si>
  <si>
    <t>200cm x 200cm</t>
  </si>
  <si>
    <t>Sarah Angelo</t>
  </si>
  <si>
    <t>55cm x 163cm</t>
  </si>
  <si>
    <t>Vanessa Barbosa</t>
  </si>
  <si>
    <t>Alysson Matias</t>
  </si>
  <si>
    <t>Ornilda Gabrielle</t>
  </si>
  <si>
    <t>40 x 60</t>
  </si>
  <si>
    <t>160 x 50</t>
  </si>
  <si>
    <t>Jucimeire Lins</t>
  </si>
  <si>
    <t>56 x 53</t>
  </si>
  <si>
    <t>160 x 55</t>
  </si>
  <si>
    <t>100cm x 100cm</t>
  </si>
  <si>
    <t>Junio Alves</t>
  </si>
  <si>
    <t>Camila Tavares</t>
  </si>
  <si>
    <t>54cm x 39cm</t>
  </si>
  <si>
    <t>SAIDA 165cm x 110cm</t>
  </si>
  <si>
    <t>Junio Alves de Lima</t>
  </si>
  <si>
    <t>SAIDA 70cm x 100cm</t>
  </si>
  <si>
    <t>SALÃO OFICINA</t>
  </si>
  <si>
    <t>Tapeçaria</t>
  </si>
  <si>
    <t>Andre Luis</t>
  </si>
  <si>
    <t>BANHEIROS</t>
  </si>
  <si>
    <t>(SIGBP)Inicio Estoque</t>
  </si>
  <si>
    <t>FUNAD</t>
  </si>
  <si>
    <t>200000024</t>
  </si>
  <si>
    <t>Column 10</t>
  </si>
  <si>
    <t>Entradas Totais</t>
  </si>
  <si>
    <t>Saídas Totais</t>
  </si>
  <si>
    <t>Saldo Atual</t>
  </si>
  <si>
    <t>Situação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</si>
</sst>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"/>
    <numFmt numFmtId="165" formatCode="dd/MM/yyyy"/>
  </numFmts>
  <fonts count="30">
    <font>
      <sz val="11.0"/>
      <color rgb="FF000000"/>
      <name val="Calibri"/>
      <scheme val="minor"/>
    </font>
    <font>
      <b/>
      <sz val="16.0"/>
      <color theme="1"/>
      <name val="Roboto"/>
    </font>
    <font>
      <b/>
      <sz val="12.0"/>
      <color theme="1"/>
      <name val="Roboto"/>
    </font>
    <font>
      <b/>
      <sz val="13.0"/>
      <color theme="1"/>
      <name val="Roboto"/>
    </font>
    <font>
      <b/>
      <sz val="16.0"/>
      <color rgb="FF000000"/>
      <name val="Roboto"/>
    </font>
    <font>
      <b/>
      <sz val="12.0"/>
      <color rgb="FF000000"/>
      <name val="Roboto"/>
    </font>
    <font>
      <b/>
      <sz val="15.0"/>
      <color rgb="FF000000"/>
      <name val="Roboto"/>
    </font>
    <font>
      <b/>
      <sz val="17.0"/>
      <color theme="1"/>
      <name val="Calibri"/>
      <scheme val="minor"/>
    </font>
    <font>
      <color theme="1"/>
      <name val="Calibri"/>
      <scheme val="minor"/>
    </font>
    <font>
      <b/>
      <sz val="12.0"/>
      <color rgb="FF001D35"/>
      <name val="Roboto"/>
    </font>
    <font>
      <b/>
      <color rgb="FF000000"/>
      <name val="Roboto"/>
    </font>
    <font>
      <b/>
      <sz val="12.0"/>
      <color rgb="FF25282A"/>
      <name val="Roboto"/>
    </font>
    <font>
      <sz val="15.0"/>
      <color rgb="FF25282A"/>
      <name val="Oswald"/>
    </font>
    <font>
      <b/>
      <color rgb="FF0F0F0F"/>
      <name val="Roboto"/>
    </font>
    <font>
      <b/>
      <sz val="11.0"/>
      <color rgb="FF000000"/>
      <name val="Roboto"/>
    </font>
    <font>
      <sz val="12.0"/>
      <color theme="1"/>
      <name val="Roboto"/>
    </font>
    <font>
      <b/>
      <sz val="15.0"/>
      <color theme="1"/>
      <name val="Roboto"/>
    </font>
    <font>
      <b/>
      <sz val="12.0"/>
      <color theme="1"/>
      <name val="Calibri"/>
      <scheme val="minor"/>
    </font>
    <font>
      <b/>
      <color rgb="FF000000"/>
      <name val="Calibri"/>
      <scheme val="minor"/>
    </font>
    <font>
      <color theme="1"/>
      <name val="Arial"/>
    </font>
    <font>
      <sz val="12.0"/>
      <color rgb="FF000000"/>
      <name val="Roboto"/>
    </font>
    <font>
      <color theme="1"/>
      <name val="Verdana"/>
    </font>
    <font>
      <b/>
      <sz val="13.0"/>
      <color theme="1"/>
      <name val="Calibri"/>
    </font>
    <font>
      <sz val="13.0"/>
      <color theme="1"/>
      <name val="Calibri"/>
    </font>
    <font>
      <b/>
      <sz val="15.0"/>
      <color theme="1"/>
      <name val="Calibri"/>
    </font>
    <font>
      <b/>
      <sz val="12.0"/>
      <color rgb="FF000000"/>
      <name val="Calibri"/>
      <scheme val="minor"/>
    </font>
    <font>
      <sz val="14.0"/>
      <color theme="1"/>
      <name val="Roboto"/>
    </font>
    <font>
      <b/>
      <sz val="11.0"/>
      <color theme="1"/>
      <name val="Roboto"/>
    </font>
    <font>
      <b/>
      <sz val="17.0"/>
      <color rgb="FF000000"/>
      <name val="Roboto"/>
    </font>
    <font>
      <b/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EBEBEB"/>
        <bgColor rgb="FFEBEBEB"/>
      </patternFill>
    </fill>
    <fill>
      <patternFill patternType="solid">
        <fgColor rgb="FFF6F8F9"/>
        <bgColor rgb="FFF6F8F9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8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0"/>
    </xf>
    <xf borderId="0" fillId="2" fontId="2" numFmtId="0" xfId="0" applyAlignment="1" applyFont="1">
      <alignment horizontal="center" readingOrder="0" shrinkToFit="0" vertical="center" wrapText="0"/>
    </xf>
    <xf borderId="0" fillId="2" fontId="3" numFmtId="0" xfId="0" applyAlignment="1" applyFont="1">
      <alignment horizontal="center" readingOrder="0" shrinkToFit="0" vertical="center" wrapText="0"/>
    </xf>
    <xf borderId="1" fillId="2" fontId="2" numFmtId="0" xfId="0" applyAlignment="1" applyBorder="1" applyFont="1">
      <alignment horizontal="center" readingOrder="0" shrinkToFit="0" vertical="center" wrapText="0"/>
    </xf>
    <xf borderId="0" fillId="0" fontId="4" numFmtId="0" xfId="0" applyAlignment="1" applyFont="1">
      <alignment horizontal="left" shrinkToFit="0" vertical="center" wrapText="0"/>
    </xf>
    <xf borderId="0" fillId="0" fontId="5" numFmtId="0" xfId="0" applyAlignment="1" applyFont="1">
      <alignment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shrinkToFit="0" vertical="center" wrapText="0"/>
    </xf>
    <xf borderId="2" fillId="0" fontId="5" numFmtId="0" xfId="0" applyAlignment="1" applyBorder="1" applyFont="1">
      <alignment shrinkToFit="0" vertical="center" wrapText="0"/>
    </xf>
    <xf borderId="3" fillId="3" fontId="6" numFmtId="49" xfId="0" applyAlignment="1" applyBorder="1" applyFill="1" applyFont="1" applyNumberFormat="1">
      <alignment horizontal="center" readingOrder="0" shrinkToFit="0" vertical="center" wrapText="0"/>
    </xf>
    <xf borderId="1" fillId="0" fontId="5" numFmtId="0" xfId="0" applyAlignment="1" applyBorder="1" applyFont="1">
      <alignment shrinkToFit="0" vertical="center" wrapText="0"/>
    </xf>
    <xf borderId="0" fillId="0" fontId="5" numFmtId="0" xfId="0" applyAlignment="1" applyFont="1">
      <alignment readingOrder="0" shrinkToFit="0" vertical="center" wrapText="0"/>
    </xf>
    <xf borderId="3" fillId="0" fontId="5" numFmtId="0" xfId="0" applyAlignment="1" applyBorder="1" applyFont="1">
      <alignment shrinkToFit="0" vertical="center" wrapText="0"/>
    </xf>
    <xf borderId="3" fillId="3" fontId="6" numFmtId="0" xfId="0" applyAlignment="1" applyBorder="1" applyFont="1">
      <alignment horizontal="center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3" fillId="0" fontId="5" numFmtId="0" xfId="0" applyAlignment="1" applyBorder="1" applyFont="1">
      <alignment readingOrder="0" shrinkToFit="0" vertical="center" wrapText="0"/>
    </xf>
    <xf borderId="0" fillId="0" fontId="7" numFmtId="49" xfId="0" applyAlignment="1" applyFont="1" applyNumberFormat="1">
      <alignment horizontal="center" readingOrder="0" shrinkToFit="0" vertical="center" wrapText="0"/>
    </xf>
    <xf borderId="1" fillId="0" fontId="5" numFmtId="0" xfId="0" applyAlignment="1" applyBorder="1" applyFont="1">
      <alignment readingOrder="0" shrinkToFit="0" vertical="center" wrapText="0"/>
    </xf>
    <xf borderId="1" fillId="0" fontId="5" numFmtId="0" xfId="0" applyAlignment="1" applyBorder="1" applyFont="1">
      <alignment horizontal="left" shrinkToFit="0" vertical="center" wrapText="0"/>
    </xf>
    <xf borderId="0" fillId="0" fontId="5" numFmtId="0" xfId="0" applyAlignment="1" applyFont="1">
      <alignment horizontal="left" shrinkToFit="0" vertical="center" wrapText="0"/>
    </xf>
    <xf borderId="1" fillId="0" fontId="5" numFmtId="0" xfId="0" applyAlignment="1" applyBorder="1" applyFont="1">
      <alignment horizontal="left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4" fontId="5" numFmtId="0" xfId="0" applyAlignment="1" applyFill="1" applyFont="1">
      <alignment readingOrder="0" shrinkToFit="0" vertical="center" wrapText="0"/>
    </xf>
    <xf borderId="0" fillId="0" fontId="4" numFmtId="0" xfId="0" applyAlignment="1" applyFont="1">
      <alignment horizontal="left" readingOrder="0" shrinkToFit="0" vertical="bottom" wrapText="1"/>
    </xf>
    <xf borderId="3" fillId="0" fontId="6" numFmtId="49" xfId="0" applyAlignment="1" applyBorder="1" applyFont="1" applyNumberFormat="1">
      <alignment horizontal="center" shrinkToFit="0" vertical="center" wrapText="0"/>
    </xf>
    <xf borderId="1" fillId="0" fontId="5" numFmtId="49" xfId="0" applyAlignment="1" applyBorder="1" applyFont="1" applyNumberFormat="1">
      <alignment shrinkToFit="0" vertical="center" wrapText="0"/>
    </xf>
    <xf borderId="0" fillId="0" fontId="5" numFmtId="49" xfId="0" applyAlignment="1" applyFont="1" applyNumberFormat="1">
      <alignment shrinkToFit="0" vertical="center" wrapText="0"/>
    </xf>
    <xf borderId="0" fillId="0" fontId="4" numFmtId="0" xfId="0" applyAlignment="1" applyFont="1">
      <alignment horizontal="left" readingOrder="0" shrinkToFit="0" vertical="center" wrapText="1"/>
    </xf>
    <xf borderId="1" fillId="0" fontId="5" numFmtId="49" xfId="0" applyAlignment="1" applyBorder="1" applyFont="1" applyNumberFormat="1">
      <alignment readingOrder="0" shrinkToFit="0" vertical="center" wrapText="0"/>
    </xf>
    <xf borderId="0" fillId="0" fontId="5" numFmtId="49" xfId="0" applyAlignment="1" applyFont="1" applyNumberFormat="1">
      <alignment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3" fillId="0" fontId="5" numFmtId="0" xfId="0" applyAlignment="1" applyBorder="1" applyFont="1">
      <alignment shrinkToFit="0" vertical="center" wrapText="0"/>
    </xf>
    <xf borderId="1" fillId="0" fontId="5" numFmtId="0" xfId="0" applyAlignment="1" applyBorder="1" applyFont="1">
      <alignment horizontal="left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1" fillId="0" fontId="4" numFmtId="0" xfId="0" applyAlignment="1" applyBorder="1" applyFont="1">
      <alignment horizontal="left" readingOrder="0" shrinkToFit="0" vertical="center" wrapText="0"/>
    </xf>
    <xf borderId="3" fillId="0" fontId="6" numFmtId="49" xfId="0" applyAlignment="1" applyBorder="1" applyFont="1" applyNumberFormat="1">
      <alignment horizontal="center" readingOrder="0" shrinkToFit="0" vertical="center" wrapText="0"/>
    </xf>
    <xf borderId="3" fillId="0" fontId="8" numFmtId="0" xfId="0" applyAlignment="1" applyBorder="1" applyFont="1">
      <alignment shrinkToFit="0" vertical="center" wrapText="0"/>
    </xf>
    <xf borderId="1" fillId="0" fontId="5" numFmtId="49" xfId="0" applyAlignment="1" applyBorder="1" applyFont="1" applyNumberFormat="1">
      <alignment horizontal="left" readingOrder="0" shrinkToFit="0" vertical="center" wrapText="0"/>
    </xf>
    <xf borderId="0" fillId="0" fontId="5" numFmtId="49" xfId="0" applyAlignment="1" applyFont="1" applyNumberFormat="1">
      <alignment horizontal="left" readingOrder="0" shrinkToFit="0" vertical="center" wrapText="0"/>
    </xf>
    <xf borderId="0" fillId="4" fontId="9" numFmtId="0" xfId="0" applyAlignment="1" applyFont="1">
      <alignment readingOrder="0" shrinkToFit="0" vertical="center" wrapText="0"/>
    </xf>
    <xf borderId="3" fillId="0" fontId="5" numFmtId="0" xfId="0" applyAlignment="1" applyBorder="1" applyFont="1">
      <alignment horizontal="left" readingOrder="0" shrinkToFit="0" vertical="center" wrapText="0"/>
    </xf>
    <xf borderId="1" fillId="0" fontId="5" numFmtId="0" xfId="0" applyAlignment="1" applyBorder="1" applyFont="1">
      <alignment horizontal="left"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0" fontId="10" numFmtId="0" xfId="0" applyAlignment="1" applyFont="1">
      <alignment readingOrder="0" shrinkToFit="0" vertical="center" wrapText="0"/>
    </xf>
    <xf borderId="3" fillId="0" fontId="6" numFmtId="0" xfId="0" applyAlignment="1" applyBorder="1" applyFont="1">
      <alignment horizontal="center" shrinkToFit="0" vertical="center" wrapText="0"/>
    </xf>
    <xf borderId="0" fillId="0" fontId="5" numFmtId="0" xfId="0" applyAlignment="1" applyFont="1">
      <alignment readingOrder="0" shrinkToFit="0" vertical="center" wrapText="0"/>
    </xf>
    <xf borderId="3" fillId="0" fontId="5" numFmtId="0" xfId="0" applyAlignment="1" applyBorder="1" applyFont="1">
      <alignment horizontal="left" readingOrder="0" shrinkToFit="0" vertical="center" wrapText="0"/>
    </xf>
    <xf borderId="3" fillId="0" fontId="6" numFmtId="49" xfId="0" applyAlignment="1" applyBorder="1" applyFont="1" applyNumberFormat="1">
      <alignment horizontal="center" readingOrder="0" shrinkToFit="0" vertical="center" wrapText="0"/>
    </xf>
    <xf borderId="1" fillId="0" fontId="5" numFmtId="0" xfId="0" applyAlignment="1" applyBorder="1" applyFont="1">
      <alignment horizontal="left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4" fontId="11" numFmtId="0" xfId="0" applyAlignment="1" applyFont="1">
      <alignment horizontal="left" readingOrder="0" shrinkToFit="0" vertical="center" wrapText="0"/>
    </xf>
    <xf borderId="1" fillId="4" fontId="12" numFmtId="0" xfId="0" applyAlignment="1" applyBorder="1" applyFont="1">
      <alignment horizontal="left" readingOrder="0" shrinkToFit="0" vertical="center" wrapText="0"/>
    </xf>
    <xf borderId="0" fillId="4" fontId="12" numFmtId="0" xfId="0" applyAlignment="1" applyFont="1">
      <alignment horizontal="left" readingOrder="0" shrinkToFit="0" vertical="center" wrapText="0"/>
    </xf>
    <xf borderId="0" fillId="4" fontId="13" numFmtId="0" xfId="0" applyAlignment="1" applyFont="1">
      <alignment horizontal="left" readingOrder="0" shrinkToFit="0" vertical="center" wrapText="0"/>
    </xf>
    <xf borderId="3" fillId="4" fontId="5" numFmtId="0" xfId="0" applyAlignment="1" applyBorder="1" applyFont="1">
      <alignment horizontal="left" readingOrder="0" shrinkToFit="0" vertical="center" wrapText="0"/>
    </xf>
    <xf borderId="3" fillId="0" fontId="6" numFmtId="0" xfId="0" applyAlignment="1" applyBorder="1" applyFont="1">
      <alignment horizontal="center" readingOrder="0" shrinkToFit="0" vertical="center" wrapText="0"/>
    </xf>
    <xf borderId="0" fillId="4" fontId="14" numFmtId="0" xfId="0" applyAlignment="1" applyFont="1">
      <alignment readingOrder="0" shrinkToFit="0" vertical="center" wrapText="0"/>
    </xf>
    <xf borderId="3" fillId="0" fontId="5" numFmtId="0" xfId="0" applyAlignment="1" applyBorder="1" applyFont="1">
      <alignment readingOrder="0" shrinkToFit="0" vertical="center" wrapText="0"/>
    </xf>
    <xf borderId="0" fillId="4" fontId="4" numFmtId="0" xfId="0" applyAlignment="1" applyFont="1">
      <alignment horizontal="left" readingOrder="0" shrinkToFit="0" vertical="center" wrapText="0"/>
    </xf>
    <xf quotePrefix="1" borderId="0" fillId="4" fontId="4" numFmtId="0" xfId="0" applyAlignment="1" applyFont="1">
      <alignment horizontal="left" readingOrder="0" shrinkToFit="0" vertical="center" wrapText="0"/>
    </xf>
    <xf borderId="1" fillId="0" fontId="5" numFmtId="0" xfId="0" applyAlignment="1" applyBorder="1" applyFont="1">
      <alignment shrinkToFit="0" vertical="center" wrapText="1"/>
    </xf>
    <xf borderId="0" fillId="0" fontId="5" numFmtId="0" xfId="0" applyAlignment="1" applyFont="1">
      <alignment shrinkToFit="0" vertical="center" wrapText="1"/>
    </xf>
    <xf borderId="4" fillId="0" fontId="5" numFmtId="0" xfId="0" applyAlignment="1" applyBorder="1" applyFont="1">
      <alignment readingOrder="0" shrinkToFit="0" vertical="center" wrapText="0"/>
    </xf>
    <xf borderId="1" fillId="0" fontId="5" numFmtId="0" xfId="0" applyAlignment="1" applyBorder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quotePrefix="1" borderId="0" fillId="0" fontId="4" numFmtId="0" xfId="0" applyAlignment="1" applyFont="1">
      <alignment horizontal="left" readingOrder="0" shrinkToFit="0" vertical="center" wrapText="0"/>
    </xf>
    <xf borderId="1" fillId="0" fontId="5" numFmtId="0" xfId="0" applyAlignment="1" applyBorder="1" applyFont="1">
      <alignment readingOrder="0" shrinkToFit="0" vertical="center" wrapText="0"/>
    </xf>
    <xf borderId="0" fillId="0" fontId="4" numFmtId="0" xfId="0" applyAlignment="1" applyFont="1">
      <alignment horizontal="left" shrinkToFit="0" vertical="center" wrapText="1"/>
    </xf>
    <xf borderId="1" fillId="0" fontId="4" numFmtId="0" xfId="0" applyAlignment="1" applyBorder="1" applyFont="1">
      <alignment horizontal="left" shrinkToFit="0" vertical="center" wrapText="0"/>
    </xf>
    <xf borderId="5" fillId="0" fontId="5" numFmtId="0" xfId="0" applyAlignment="1" applyBorder="1" applyFont="1">
      <alignment readingOrder="0" shrinkToFit="0" vertical="center" wrapText="0"/>
    </xf>
    <xf borderId="0" fillId="0" fontId="15" numFmtId="164" xfId="0" applyAlignment="1" applyFont="1" applyNumberFormat="1">
      <alignment horizontal="center" readingOrder="0" shrinkToFit="0" vertical="center" wrapText="1"/>
    </xf>
    <xf borderId="0" fillId="0" fontId="16" numFmtId="0" xfId="0" applyAlignment="1" applyFont="1">
      <alignment horizontal="left" readingOrder="0" shrinkToFit="0" vertical="center" wrapText="1"/>
    </xf>
    <xf borderId="0" fillId="0" fontId="2" numFmtId="49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5" numFmtId="165" xfId="0" applyAlignment="1" applyFont="1" applyNumberFormat="1">
      <alignment readingOrder="0" shrinkToFit="0" vertical="center" wrapText="0"/>
    </xf>
    <xf borderId="0" fillId="0" fontId="17" numFmtId="164" xfId="0" applyAlignment="1" applyFont="1" applyNumberFormat="1">
      <alignment shrinkToFit="0" vertical="center" wrapText="0"/>
    </xf>
    <xf borderId="0" fillId="0" fontId="18" numFmtId="0" xfId="0" applyAlignment="1" applyFont="1">
      <alignment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shrinkToFit="0" vertical="center" wrapText="0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shrinkToFit="0" wrapText="1"/>
    </xf>
    <xf borderId="0" fillId="0" fontId="5" numFmtId="0" xfId="0" applyAlignment="1" applyFont="1">
      <alignment readingOrder="0" shrinkToFit="0" vertical="center" wrapText="0"/>
    </xf>
    <xf borderId="1" fillId="0" fontId="5" numFmtId="165" xfId="0" applyAlignment="1" applyBorder="1" applyFont="1" applyNumberFormat="1">
      <alignment readingOrder="0" shrinkToFit="0" vertical="center" wrapText="0"/>
    </xf>
    <xf borderId="1" fillId="0" fontId="18" numFmtId="0" xfId="0" applyAlignment="1" applyBorder="1" applyFont="1">
      <alignment shrinkToFit="0" vertical="center" wrapText="0"/>
    </xf>
    <xf borderId="1" fillId="0" fontId="5" numFmtId="0" xfId="0" applyAlignment="1" applyBorder="1" applyFont="1">
      <alignment readingOrder="0" shrinkToFit="0" vertical="center" wrapText="0"/>
    </xf>
    <xf borderId="1" fillId="0" fontId="5" numFmtId="0" xfId="0" applyAlignment="1" applyBorder="1" applyFont="1">
      <alignment horizontal="center" readingOrder="0" shrinkToFit="0" vertical="center" wrapText="0"/>
    </xf>
    <xf borderId="6" fillId="0" fontId="18" numFmtId="0" xfId="0" applyAlignment="1" applyBorder="1" applyFont="1">
      <alignment shrinkToFit="0" vertical="center" wrapText="0"/>
    </xf>
    <xf borderId="0" fillId="4" fontId="6" numFmtId="0" xfId="0" applyAlignment="1" applyFont="1">
      <alignment horizontal="left" readingOrder="0" shrinkToFit="0" vertical="center" wrapText="0"/>
    </xf>
    <xf quotePrefix="1" borderId="0" fillId="4" fontId="6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7" fillId="4" fontId="19" numFmtId="0" xfId="0" applyAlignment="1" applyBorder="1" applyFont="1">
      <alignment readingOrder="0" shrinkToFit="0" vertical="center" wrapText="0"/>
    </xf>
    <xf borderId="0" fillId="0" fontId="20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horizontal="left" readingOrder="0" shrinkToFit="0" vertical="center" wrapText="0"/>
    </xf>
    <xf borderId="1" fillId="0" fontId="5" numFmtId="0" xfId="0" applyAlignment="1" applyBorder="1" applyFont="1">
      <alignment horizontal="left" readingOrder="0" shrinkToFit="0" vertical="center" wrapText="0"/>
    </xf>
    <xf quotePrefix="1" borderId="1" fillId="0" fontId="6" numFmtId="0" xfId="0" applyAlignment="1" applyBorder="1" applyFont="1">
      <alignment horizontal="left" readingOrder="0" shrinkToFit="0" vertical="center" wrapText="1"/>
    </xf>
    <xf borderId="1" fillId="0" fontId="6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0" fillId="0" fontId="6" numFmtId="0" xfId="0" applyAlignment="1" applyFont="1">
      <alignment horizontal="left" shrinkToFit="0" vertical="center" wrapText="0"/>
    </xf>
    <xf borderId="1" fillId="0" fontId="5" numFmtId="0" xfId="0" applyAlignment="1" applyBorder="1" applyFont="1">
      <alignment horizontal="left" readingOrder="0" shrinkToFit="0" vertical="center" wrapText="1"/>
    </xf>
    <xf borderId="1" fillId="0" fontId="6" numFmtId="0" xfId="0" applyAlignment="1" applyBorder="1" applyFont="1">
      <alignment horizontal="left" readingOrder="0" shrinkToFit="0" vertical="center" wrapText="0"/>
    </xf>
    <xf borderId="1" fillId="0" fontId="6" numFmtId="0" xfId="0" applyAlignment="1" applyBorder="1" applyFont="1">
      <alignment horizontal="left" shrinkToFit="0" vertical="center" wrapText="0"/>
    </xf>
    <xf borderId="1" fillId="4" fontId="6" numFmtId="0" xfId="0" applyAlignment="1" applyBorder="1" applyFont="1">
      <alignment horizontal="left" readingOrder="0" shrinkToFit="0" vertical="center" wrapText="0"/>
    </xf>
    <xf borderId="0" fillId="0" fontId="21" numFmtId="0" xfId="0" applyAlignment="1" applyFont="1">
      <alignment vertical="bottom"/>
    </xf>
    <xf borderId="0" fillId="0" fontId="2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vertical="center" wrapText="0"/>
    </xf>
    <xf borderId="0" fillId="0" fontId="22" numFmtId="0" xfId="0" applyAlignment="1" applyFont="1">
      <alignment horizontal="left" vertical="bottom"/>
    </xf>
    <xf borderId="0" fillId="0" fontId="23" numFmtId="0" xfId="0" applyAlignment="1" applyFont="1">
      <alignment horizontal="center" vertical="bottom"/>
    </xf>
    <xf borderId="0" fillId="0" fontId="24" numFmtId="0" xfId="0" applyAlignment="1" applyFont="1">
      <alignment horizontal="center" vertical="bottom"/>
    </xf>
    <xf borderId="1" fillId="5" fontId="6" numFmtId="0" xfId="0" applyAlignment="1" applyBorder="1" applyFill="1" applyFont="1">
      <alignment horizontal="left" readingOrder="0" shrinkToFit="0" vertical="center" wrapText="0"/>
    </xf>
    <xf borderId="1" fillId="6" fontId="16" numFmtId="0" xfId="0" applyAlignment="1" applyBorder="1" applyFill="1" applyFont="1">
      <alignment horizontal="left" shrinkToFit="0" vertical="center" wrapText="0"/>
    </xf>
    <xf borderId="1" fillId="4" fontId="16" numFmtId="0" xfId="0" applyAlignment="1" applyBorder="1" applyFont="1">
      <alignment horizontal="left" shrinkToFit="0" vertical="center" wrapText="0"/>
    </xf>
    <xf borderId="1" fillId="0" fontId="25" numFmtId="0" xfId="0" applyAlignment="1" applyBorder="1" applyFont="1">
      <alignment shrinkToFit="0" vertical="center" wrapText="0"/>
    </xf>
    <xf borderId="1" fillId="6" fontId="6" numFmtId="0" xfId="0" applyAlignment="1" applyBorder="1" applyFont="1">
      <alignment horizontal="left" readingOrder="0" shrinkToFit="0" vertical="center" wrapText="0"/>
    </xf>
    <xf borderId="1" fillId="6" fontId="6" numFmtId="0" xfId="0" applyAlignment="1" applyBorder="1" applyFont="1">
      <alignment horizontal="left" shrinkToFit="0" vertical="center" wrapText="0"/>
    </xf>
    <xf borderId="1" fillId="4" fontId="6" numFmtId="0" xfId="0" applyAlignment="1" applyBorder="1" applyFont="1">
      <alignment horizontal="left" shrinkToFit="0" vertical="center" wrapText="0"/>
    </xf>
    <xf borderId="1" fillId="0" fontId="6" numFmtId="0" xfId="0" applyAlignment="1" applyBorder="1" applyFont="1">
      <alignment horizontal="left" shrinkToFit="0" vertical="center" wrapText="0"/>
    </xf>
    <xf borderId="1" fillId="0" fontId="6" numFmtId="0" xfId="0" applyAlignment="1" applyBorder="1" applyFont="1">
      <alignment horizontal="left" shrinkToFit="0" vertical="center" wrapText="1"/>
    </xf>
    <xf borderId="1" fillId="0" fontId="5" numFmtId="0" xfId="0" applyAlignment="1" applyBorder="1" applyFont="1">
      <alignment horizontal="left" readingOrder="0" shrinkToFit="0" vertical="center" wrapText="0"/>
    </xf>
    <xf borderId="1" fillId="0" fontId="6" numFmtId="0" xfId="0" applyAlignment="1" applyBorder="1" applyFont="1">
      <alignment horizontal="left" readingOrder="0" shrinkToFit="0" vertical="center" wrapText="0"/>
    </xf>
    <xf borderId="1" fillId="0" fontId="6" numFmtId="0" xfId="0" applyAlignment="1" applyBorder="1" applyFont="1">
      <alignment horizontal="left" readingOrder="0" shrinkToFit="0" vertical="center" wrapText="0"/>
    </xf>
    <xf borderId="1" fillId="0" fontId="6" numFmtId="0" xfId="0" applyAlignment="1" applyBorder="1" applyFont="1">
      <alignment horizontal="left" readingOrder="0" shrinkToFit="0" vertical="bottom" wrapText="1"/>
    </xf>
    <xf borderId="1" fillId="0" fontId="6" numFmtId="0" xfId="0" applyAlignment="1" applyBorder="1" applyFont="1">
      <alignment horizontal="left" shrinkToFit="0" vertical="bottom" wrapText="1"/>
    </xf>
    <xf borderId="0" fillId="0" fontId="5" numFmtId="0" xfId="0" applyAlignment="1" applyFont="1">
      <alignment vertical="center"/>
    </xf>
    <xf borderId="1" fillId="0" fontId="5" numFmtId="165" xfId="0" applyAlignment="1" applyBorder="1" applyFont="1" applyNumberFormat="1">
      <alignment readingOrder="0" shrinkToFit="0" vertical="center" wrapText="0"/>
    </xf>
    <xf borderId="1" fillId="0" fontId="5" numFmtId="0" xfId="0" applyAlignment="1" applyBorder="1" applyFont="1">
      <alignment readingOrder="0" shrinkToFit="0" vertical="center" wrapText="0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5" numFmtId="165" xfId="0" applyAlignment="1" applyBorder="1" applyFont="1" applyNumberFormat="1">
      <alignment readingOrder="0" shrinkToFit="0" vertical="center" wrapText="0"/>
    </xf>
    <xf borderId="1" fillId="0" fontId="5" numFmtId="0" xfId="0" applyAlignment="1" applyBorder="1" applyFont="1">
      <alignment horizontal="left" readingOrder="0" shrinkToFit="0" vertical="center" wrapText="0"/>
    </xf>
    <xf borderId="1" fillId="0" fontId="5" numFmtId="0" xfId="0" applyAlignment="1" applyBorder="1" applyFont="1">
      <alignment readingOrder="0" shrinkToFit="0" vertical="center" wrapText="0"/>
    </xf>
    <xf borderId="1" fillId="0" fontId="5" numFmtId="0" xfId="0" applyAlignment="1" applyBorder="1" applyFont="1">
      <alignment horizontal="center" readingOrder="0" shrinkToFit="0" vertical="center" wrapText="0"/>
    </xf>
    <xf borderId="0" fillId="0" fontId="5" numFmtId="0" xfId="0" applyAlignment="1" applyFont="1">
      <alignment shrinkToFit="0" vertical="center" wrapText="0"/>
    </xf>
    <xf borderId="1" fillId="0" fontId="5" numFmtId="165" xfId="0" applyAlignment="1" applyBorder="1" applyFont="1" applyNumberFormat="1">
      <alignment shrinkToFit="0" vertical="center" wrapText="0"/>
    </xf>
    <xf borderId="1" fillId="0" fontId="5" numFmtId="0" xfId="0" applyAlignment="1" applyBorder="1" applyFont="1">
      <alignment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6" numFmtId="0" xfId="0" applyAlignment="1" applyFont="1">
      <alignment horizontal="left" readingOrder="0" shrinkToFit="0" vertical="center" wrapText="1"/>
    </xf>
    <xf borderId="1" fillId="0" fontId="5" numFmtId="0" xfId="0" applyAlignment="1" applyBorder="1" applyFont="1">
      <alignment horizontal="left" shrinkToFit="0" vertical="center" wrapText="0"/>
    </xf>
    <xf borderId="0" fillId="0" fontId="5" numFmtId="0" xfId="0" applyAlignment="1" applyFont="1">
      <alignment horizontal="left" shrinkToFit="0" vertical="center" wrapText="0"/>
    </xf>
    <xf borderId="1" fillId="0" fontId="5" numFmtId="165" xfId="0" applyAlignment="1" applyBorder="1" applyFont="1" applyNumberFormat="1">
      <alignment shrinkToFit="0" vertical="center" wrapText="1"/>
    </xf>
    <xf borderId="0" fillId="0" fontId="6" numFmtId="0" xfId="0" applyAlignment="1" applyFont="1">
      <alignment horizontal="left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6" fontId="6" numFmtId="0" xfId="0" applyAlignment="1" applyBorder="1" applyFont="1">
      <alignment horizontal="left" shrinkToFit="0" vertical="center" wrapText="0"/>
    </xf>
    <xf borderId="1" fillId="4" fontId="6" numFmtId="0" xfId="0" applyAlignment="1" applyBorder="1" applyFont="1">
      <alignment horizontal="left" shrinkToFit="0" vertical="center" wrapText="0"/>
    </xf>
    <xf borderId="0" fillId="6" fontId="6" numFmtId="0" xfId="0" applyAlignment="1" applyFont="1">
      <alignment horizontal="left" shrinkToFit="0" vertical="center" wrapText="0"/>
    </xf>
    <xf borderId="1" fillId="4" fontId="6" numFmtId="0" xfId="0" applyAlignment="1" applyBorder="1" applyFont="1">
      <alignment horizontal="left" readingOrder="0" shrinkToFit="0" vertical="center" wrapText="0"/>
    </xf>
    <xf quotePrefix="1" borderId="1" fillId="6" fontId="6" numFmtId="0" xfId="0" applyAlignment="1" applyBorder="1" applyFont="1">
      <alignment horizontal="left" readingOrder="0" shrinkToFit="0" vertical="center" wrapText="0"/>
    </xf>
    <xf borderId="0" fillId="0" fontId="5" numFmtId="164" xfId="0" applyAlignment="1" applyFont="1" applyNumberFormat="1">
      <alignment shrinkToFit="0" vertical="center" wrapText="0"/>
    </xf>
    <xf borderId="0" fillId="0" fontId="6" numFmtId="0" xfId="0" applyAlignment="1" applyFont="1">
      <alignment horizontal="left"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0" fontId="5" numFmtId="0" xfId="0" applyAlignment="1" applyFont="1">
      <alignment shrinkToFit="0" vertical="center" wrapText="0"/>
    </xf>
    <xf borderId="0" fillId="0" fontId="5" numFmtId="0" xfId="0" applyAlignment="1" applyFont="1">
      <alignment horizontal="center" shrinkToFit="0" vertical="center" wrapText="0"/>
    </xf>
    <xf borderId="0" fillId="0" fontId="5" numFmtId="0" xfId="0" applyAlignment="1" applyFont="1">
      <alignment readingOrder="0" shrinkToFit="0" vertical="center" wrapText="0"/>
    </xf>
    <xf borderId="1" fillId="2" fontId="26" numFmtId="0" xfId="0" applyAlignment="1" applyBorder="1" applyFont="1">
      <alignment horizontal="left" readingOrder="0" shrinkToFit="0" vertical="center" wrapText="1"/>
    </xf>
    <xf borderId="1" fillId="2" fontId="2" numFmtId="0" xfId="0" applyAlignment="1" applyBorder="1" applyFont="1">
      <alignment horizontal="left" readingOrder="0" shrinkToFit="0" vertical="center" wrapText="1"/>
    </xf>
    <xf borderId="1" fillId="2" fontId="16" numFmtId="49" xfId="0" applyAlignment="1" applyBorder="1" applyFont="1" applyNumberFormat="1">
      <alignment horizontal="left" readingOrder="0" shrinkToFit="0" vertical="center" wrapText="1"/>
    </xf>
    <xf borderId="1" fillId="2" fontId="16" numFmtId="0" xfId="0" applyAlignment="1" applyBorder="1" applyFont="1">
      <alignment horizontal="left" readingOrder="0" shrinkToFit="0" vertical="center" wrapText="1"/>
    </xf>
    <xf borderId="1" fillId="2" fontId="2" numFmtId="49" xfId="0" applyAlignment="1" applyBorder="1" applyFont="1" applyNumberFormat="1">
      <alignment horizontal="left" readingOrder="0" shrinkToFit="0" vertical="center" wrapText="1"/>
    </xf>
    <xf borderId="1" fillId="2" fontId="27" numFmtId="0" xfId="0" applyAlignment="1" applyBorder="1" applyFont="1">
      <alignment horizontal="center" readingOrder="0" shrinkToFit="0" vertical="center" wrapText="0"/>
    </xf>
    <xf borderId="0" fillId="0" fontId="28" numFmtId="0" xfId="0" applyAlignment="1" applyFont="1">
      <alignment horizontal="center" shrinkToFit="0" vertical="bottom" wrapText="1"/>
    </xf>
    <xf borderId="0" fillId="0" fontId="28" numFmtId="0" xfId="0" applyAlignment="1" applyFont="1">
      <alignment horizontal="center" shrinkToFit="0" vertical="bottom" wrapText="1"/>
    </xf>
    <xf borderId="1" fillId="0" fontId="28" numFmtId="0" xfId="0" applyAlignment="1" applyBorder="1" applyFont="1">
      <alignment horizontal="center" shrinkToFit="0" vertical="bottom" wrapText="1"/>
    </xf>
    <xf borderId="0" fillId="0" fontId="7" numFmtId="0" xfId="0" applyAlignment="1" applyFont="1">
      <alignment shrinkToFit="0" vertical="center" wrapText="0"/>
    </xf>
    <xf borderId="0" fillId="0" fontId="29" numFmtId="0" xfId="0" applyAlignment="1" applyFont="1">
      <alignment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0" fillId="0" fontId="20" numFmtId="0" xfId="0" applyAlignment="1" applyFont="1">
      <alignment readingOrder="0" shrinkToFit="0" vertical="center" wrapText="0"/>
    </xf>
    <xf borderId="0" fillId="0" fontId="29" numFmtId="0" xfId="0" applyAlignment="1" applyFont="1">
      <alignment readingOrder="0" shrinkToFit="0" vertical="center" wrapText="1"/>
    </xf>
    <xf quotePrefix="1" borderId="1" fillId="0" fontId="4" numFmtId="0" xfId="0" applyAlignment="1" applyBorder="1" applyFont="1">
      <alignment horizontal="left" readingOrder="0" shrinkToFit="0" vertical="center" wrapText="0"/>
    </xf>
    <xf quotePrefix="1" borderId="1" fillId="4" fontId="4" numFmtId="0" xfId="0" applyAlignment="1" applyBorder="1" applyFont="1">
      <alignment horizontal="left" readingOrder="0" shrinkToFit="0" vertical="center" wrapText="0"/>
    </xf>
    <xf borderId="1" fillId="0" fontId="4" numFmtId="0" xfId="0" applyAlignment="1" applyBorder="1" applyFont="1">
      <alignment horizontal="left"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28" numFmtId="0" xfId="0" applyAlignment="1" applyFont="1">
      <alignment horizontal="center" readingOrder="0" shrinkToFit="0" vertical="bottom" wrapText="1"/>
    </xf>
    <xf borderId="1" fillId="4" fontId="4" numFmtId="0" xfId="0" applyAlignment="1" applyBorder="1" applyFont="1">
      <alignment horizontal="left" readingOrder="0" shrinkToFit="0" vertical="center" wrapText="0"/>
    </xf>
    <xf borderId="2" fillId="0" fontId="4" numFmtId="0" xfId="0" applyAlignment="1" applyBorder="1" applyFont="1">
      <alignment horizontal="left" shrinkToFit="0" vertical="center" wrapText="1"/>
    </xf>
    <xf quotePrefix="1" borderId="1" fillId="0" fontId="4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horizontal="left" readingOrder="0" shrinkToFit="0" vertical="center" wrapText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</dxfs>
  <tableStyles count="3">
    <tableStyle count="4" pivot="0" name="PRODUT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OVIMENTACO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OQUE ATUAL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239" displayName="CADASTRO" name="CADASTRO" id="1">
  <tableColumns count="9">
    <tableColumn name="Código do Produto" id="1"/>
    <tableColumn name="Nome do Item" id="2"/>
    <tableColumn name="Fornecedor" id="3"/>
    <tableColumn name="Unidade de Medida" id="4"/>
    <tableColumn name="Categoria" id="5"/>
    <tableColumn name="Marca" id="6"/>
    <tableColumn name=" Localizção" id="7"/>
    <tableColumn name="Descrição do Produto" id="8"/>
    <tableColumn name="Column 9" id="9"/>
  </tableColumns>
  <tableStyleInfo name="PRODUTOS-style" showColumnStripes="0" showFirstColumn="1" showLastColumn="1" showRowStripes="1"/>
</table>
</file>

<file path=xl/tables/table2.xml><?xml version="1.0" encoding="utf-8"?>
<table xmlns="http://schemas.openxmlformats.org/spreadsheetml/2006/main" ref="A1:I796" displayName="Movimentação" name="Movimentação" id="2">
  <tableColumns count="9">
    <tableColumn name="Data" id="1"/>
    <tableColumn name="ANO" id="2"/>
    <tableColumn name="Código do Produto" id="3"/>
    <tableColumn name="Nome do Produto" id="4"/>
    <tableColumn name="Tipo" id="5"/>
    <tableColumn name="Quantidade" id="6"/>
    <tableColumn name="Local/Profissional" id="7"/>
    <tableColumn name="OBS" id="8"/>
    <tableColumn name="Coluna 1" id="9"/>
  </tableColumns>
  <tableStyleInfo name="MOVIMENTACOES-style" showColumnStripes="0" showFirstColumn="1" showLastColumn="1" showRowStripes="1"/>
</table>
</file>

<file path=xl/tables/table3.xml><?xml version="1.0" encoding="utf-8"?>
<table xmlns="http://schemas.openxmlformats.org/spreadsheetml/2006/main" ref="A1:I235" displayName="Estoque_Atual" name="Estoque_Atual" id="3">
  <autoFilter ref="$A$1:$I$235"/>
  <tableColumns count="9">
    <tableColumn name="Código do Produto" id="1"/>
    <tableColumn name="Nome do Item" id="2"/>
    <tableColumn name="Categoria" id="3"/>
    <tableColumn name="Column 10" id="4"/>
    <tableColumn name="Entradas Totais" id="5"/>
    <tableColumn name="Saídas Totais" id="6"/>
    <tableColumn name="Saldo Atual" id="7"/>
    <tableColumn name="Situação" id="8"/>
    <tableColumn name="Fornecedor" id="9"/>
  </tableColumns>
  <tableStyleInfo name="ESTOQUE ATUA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71"/>
    <col customWidth="1" min="2" max="2" width="78.29"/>
    <col customWidth="1" min="3" max="3" width="24.29"/>
    <col customWidth="1" min="4" max="4" width="14.0"/>
    <col customWidth="1" min="5" max="5" width="19.0"/>
    <col customWidth="1" min="6" max="6" width="12.86"/>
    <col customWidth="1" min="7" max="7" width="28.57"/>
    <col customWidth="1" min="8" max="9" width="145.71"/>
  </cols>
  <sheetData>
    <row r="1" ht="23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2" t="s">
        <v>8</v>
      </c>
    </row>
    <row r="2" ht="23.25" customHeight="1">
      <c r="A2" s="5" t="s">
        <v>9</v>
      </c>
      <c r="B2" s="6" t="s">
        <v>10</v>
      </c>
      <c r="C2" s="7" t="s">
        <v>11</v>
      </c>
      <c r="D2" s="8" t="s">
        <v>12</v>
      </c>
      <c r="E2" s="8" t="s">
        <v>13</v>
      </c>
      <c r="F2" s="9" t="s">
        <v>14</v>
      </c>
      <c r="G2" s="10" t="s">
        <v>15</v>
      </c>
      <c r="H2" s="11" t="s">
        <v>16</v>
      </c>
      <c r="I2" s="6"/>
    </row>
    <row r="3" ht="23.25" customHeight="1">
      <c r="A3" s="5">
        <v>2.00000001E8</v>
      </c>
      <c r="B3" s="6" t="s">
        <v>17</v>
      </c>
      <c r="C3" s="6" t="s">
        <v>18</v>
      </c>
      <c r="D3" s="8" t="s">
        <v>12</v>
      </c>
      <c r="E3" s="12" t="s">
        <v>13</v>
      </c>
      <c r="F3" s="13" t="s">
        <v>19</v>
      </c>
      <c r="G3" s="14" t="s">
        <v>20</v>
      </c>
      <c r="H3" s="11" t="s">
        <v>21</v>
      </c>
      <c r="I3" s="6"/>
    </row>
    <row r="4" ht="23.25" customHeight="1">
      <c r="A4" s="15">
        <v>2.00007285E8</v>
      </c>
      <c r="B4" s="6" t="s">
        <v>22</v>
      </c>
      <c r="C4" s="6" t="s">
        <v>18</v>
      </c>
      <c r="D4" s="8" t="s">
        <v>12</v>
      </c>
      <c r="E4" s="8" t="s">
        <v>13</v>
      </c>
      <c r="F4" s="13" t="s">
        <v>19</v>
      </c>
      <c r="G4" s="14" t="s">
        <v>23</v>
      </c>
      <c r="H4" s="11" t="s">
        <v>24</v>
      </c>
      <c r="I4" s="6"/>
    </row>
    <row r="5" ht="23.25" customHeight="1">
      <c r="A5" s="15">
        <v>2.00000006E8</v>
      </c>
      <c r="B5" s="7" t="s">
        <v>25</v>
      </c>
      <c r="C5" s="7" t="s">
        <v>26</v>
      </c>
      <c r="D5" s="12" t="s">
        <v>12</v>
      </c>
      <c r="E5" s="12" t="s">
        <v>13</v>
      </c>
      <c r="F5" s="16" t="s">
        <v>27</v>
      </c>
      <c r="G5" s="17" t="s">
        <v>28</v>
      </c>
      <c r="H5" s="11"/>
      <c r="I5" s="6"/>
    </row>
    <row r="6" ht="23.25" customHeight="1">
      <c r="A6" s="15">
        <v>2.000027E8</v>
      </c>
      <c r="B6" s="6" t="s">
        <v>29</v>
      </c>
      <c r="C6" s="6" t="s">
        <v>18</v>
      </c>
      <c r="D6" s="8" t="s">
        <v>12</v>
      </c>
      <c r="E6" s="8" t="s">
        <v>13</v>
      </c>
      <c r="F6" s="13" t="s">
        <v>30</v>
      </c>
      <c r="G6" s="14" t="s">
        <v>31</v>
      </c>
      <c r="H6" s="11" t="s">
        <v>32</v>
      </c>
      <c r="I6" s="6"/>
    </row>
    <row r="7" ht="23.25" customHeight="1">
      <c r="A7" s="15">
        <v>2.00026827E8</v>
      </c>
      <c r="B7" s="6" t="s">
        <v>33</v>
      </c>
      <c r="C7" s="6" t="s">
        <v>18</v>
      </c>
      <c r="D7" s="8" t="s">
        <v>12</v>
      </c>
      <c r="E7" s="8" t="s">
        <v>13</v>
      </c>
      <c r="F7" s="13" t="s">
        <v>34</v>
      </c>
      <c r="G7" s="14" t="s">
        <v>23</v>
      </c>
      <c r="H7" s="11" t="s">
        <v>35</v>
      </c>
      <c r="I7" s="6"/>
    </row>
    <row r="8" ht="23.25" customHeight="1">
      <c r="A8" s="15">
        <v>2.0002429E8</v>
      </c>
      <c r="B8" s="6" t="s">
        <v>36</v>
      </c>
      <c r="C8" s="6" t="s">
        <v>18</v>
      </c>
      <c r="D8" s="8" t="s">
        <v>12</v>
      </c>
      <c r="E8" s="8" t="s">
        <v>13</v>
      </c>
      <c r="F8" s="13" t="s">
        <v>34</v>
      </c>
      <c r="G8" s="14" t="s">
        <v>20</v>
      </c>
      <c r="H8" s="11" t="s">
        <v>37</v>
      </c>
      <c r="I8" s="6"/>
    </row>
    <row r="9" ht="23.25" customHeight="1">
      <c r="A9" s="15">
        <v>2.00065892E8</v>
      </c>
      <c r="B9" s="7" t="s">
        <v>38</v>
      </c>
      <c r="C9" s="7" t="s">
        <v>11</v>
      </c>
      <c r="D9" s="12" t="s">
        <v>12</v>
      </c>
      <c r="E9" s="12" t="s">
        <v>13</v>
      </c>
      <c r="F9" s="13"/>
      <c r="G9" s="10" t="s">
        <v>39</v>
      </c>
      <c r="H9" s="18" t="s">
        <v>38</v>
      </c>
      <c r="I9" s="6"/>
    </row>
    <row r="10" ht="23.25" customHeight="1">
      <c r="A10" s="15">
        <v>2.00076172E8</v>
      </c>
      <c r="B10" s="6" t="s">
        <v>40</v>
      </c>
      <c r="C10" s="7" t="s">
        <v>11</v>
      </c>
      <c r="D10" s="8" t="s">
        <v>12</v>
      </c>
      <c r="E10" s="8" t="s">
        <v>41</v>
      </c>
      <c r="F10" s="13" t="s">
        <v>42</v>
      </c>
      <c r="G10" s="10" t="s">
        <v>39</v>
      </c>
      <c r="H10" s="19" t="s">
        <v>40</v>
      </c>
      <c r="I10" s="20"/>
    </row>
    <row r="11" ht="23.25" customHeight="1">
      <c r="A11" s="15">
        <v>2.00052414E8</v>
      </c>
      <c r="B11" s="7" t="s">
        <v>43</v>
      </c>
      <c r="C11" s="7" t="s">
        <v>11</v>
      </c>
      <c r="D11" s="8" t="s">
        <v>12</v>
      </c>
      <c r="E11" s="8" t="s">
        <v>41</v>
      </c>
      <c r="F11" s="13" t="s">
        <v>42</v>
      </c>
      <c r="G11" s="10" t="s">
        <v>39</v>
      </c>
      <c r="H11" s="19" t="s">
        <v>44</v>
      </c>
      <c r="I11" s="20"/>
    </row>
    <row r="12" ht="23.25" customHeight="1">
      <c r="A12" s="15">
        <v>2.00052413E8</v>
      </c>
      <c r="B12" s="7" t="s">
        <v>45</v>
      </c>
      <c r="C12" s="7" t="s">
        <v>11</v>
      </c>
      <c r="D12" s="12" t="s">
        <v>12</v>
      </c>
      <c r="E12" s="12" t="s">
        <v>41</v>
      </c>
      <c r="F12" s="16" t="s">
        <v>46</v>
      </c>
      <c r="G12" s="10" t="s">
        <v>39</v>
      </c>
      <c r="H12" s="18" t="s">
        <v>47</v>
      </c>
      <c r="I12" s="7"/>
    </row>
    <row r="13" ht="23.25" customHeight="1">
      <c r="A13" s="5">
        <v>2.00037491E8</v>
      </c>
      <c r="B13" s="6" t="s">
        <v>48</v>
      </c>
      <c r="C13" s="7" t="s">
        <v>11</v>
      </c>
      <c r="D13" s="8" t="s">
        <v>12</v>
      </c>
      <c r="E13" s="8" t="s">
        <v>41</v>
      </c>
      <c r="F13" s="13" t="s">
        <v>42</v>
      </c>
      <c r="G13" s="10" t="s">
        <v>39</v>
      </c>
      <c r="H13" s="11" t="s">
        <v>49</v>
      </c>
      <c r="I13" s="6"/>
    </row>
    <row r="14" ht="23.25" customHeight="1">
      <c r="A14" s="5">
        <v>2.00075793E8</v>
      </c>
      <c r="B14" s="18" t="s">
        <v>50</v>
      </c>
      <c r="C14" s="7" t="s">
        <v>11</v>
      </c>
      <c r="D14" s="8" t="s">
        <v>51</v>
      </c>
      <c r="E14" s="12" t="s">
        <v>41</v>
      </c>
      <c r="F14" s="13" t="s">
        <v>52</v>
      </c>
      <c r="G14" s="10" t="s">
        <v>39</v>
      </c>
      <c r="H14" s="11" t="s">
        <v>53</v>
      </c>
      <c r="I14" s="6"/>
    </row>
    <row r="15" ht="23.25" customHeight="1">
      <c r="A15" s="5">
        <v>2.00061889E8</v>
      </c>
      <c r="B15" s="7" t="s">
        <v>54</v>
      </c>
      <c r="C15" s="7" t="s">
        <v>11</v>
      </c>
      <c r="D15" s="8" t="s">
        <v>12</v>
      </c>
      <c r="E15" s="8" t="s">
        <v>41</v>
      </c>
      <c r="F15" s="16" t="s">
        <v>55</v>
      </c>
      <c r="G15" s="10" t="s">
        <v>39</v>
      </c>
      <c r="H15" s="11" t="s">
        <v>56</v>
      </c>
      <c r="I15" s="6"/>
    </row>
    <row r="16" ht="23.25" customHeight="1">
      <c r="A16" s="15">
        <v>2.00070939E8</v>
      </c>
      <c r="B16" s="7" t="s">
        <v>57</v>
      </c>
      <c r="C16" s="7" t="s">
        <v>11</v>
      </c>
      <c r="D16" s="12" t="s">
        <v>12</v>
      </c>
      <c r="E16" s="12" t="s">
        <v>41</v>
      </c>
      <c r="F16" s="16"/>
      <c r="G16" s="10"/>
      <c r="H16" s="11"/>
      <c r="I16" s="6"/>
    </row>
    <row r="17" ht="23.25" customHeight="1">
      <c r="A17" s="5">
        <v>2.00065969E8</v>
      </c>
      <c r="B17" s="6" t="s">
        <v>58</v>
      </c>
      <c r="C17" s="7" t="s">
        <v>11</v>
      </c>
      <c r="D17" s="8" t="s">
        <v>12</v>
      </c>
      <c r="E17" s="8" t="s">
        <v>41</v>
      </c>
      <c r="F17" s="13" t="s">
        <v>59</v>
      </c>
      <c r="G17" s="10" t="s">
        <v>39</v>
      </c>
      <c r="H17" s="11" t="s">
        <v>60</v>
      </c>
      <c r="I17" s="6"/>
    </row>
    <row r="18" ht="23.25" customHeight="1">
      <c r="A18" s="5">
        <v>2.0005248E8</v>
      </c>
      <c r="B18" s="6" t="s">
        <v>61</v>
      </c>
      <c r="C18" s="7" t="s">
        <v>11</v>
      </c>
      <c r="D18" s="8" t="s">
        <v>12</v>
      </c>
      <c r="E18" s="8" t="s">
        <v>41</v>
      </c>
      <c r="F18" s="13" t="s">
        <v>62</v>
      </c>
      <c r="G18" s="10" t="s">
        <v>39</v>
      </c>
      <c r="H18" s="11" t="s">
        <v>61</v>
      </c>
      <c r="I18" s="6"/>
    </row>
    <row r="19" ht="23.25" customHeight="1">
      <c r="A19" s="5">
        <v>2.00052481E8</v>
      </c>
      <c r="B19" s="6" t="s">
        <v>63</v>
      </c>
      <c r="C19" s="7" t="s">
        <v>11</v>
      </c>
      <c r="D19" s="8" t="s">
        <v>64</v>
      </c>
      <c r="E19" s="8" t="s">
        <v>41</v>
      </c>
      <c r="F19" s="13" t="s">
        <v>65</v>
      </c>
      <c r="G19" s="10" t="s">
        <v>39</v>
      </c>
      <c r="H19" s="11" t="s">
        <v>66</v>
      </c>
      <c r="I19" s="6"/>
    </row>
    <row r="20" ht="23.25" customHeight="1">
      <c r="A20" s="15">
        <v>2.000007E8</v>
      </c>
      <c r="B20" s="6" t="s">
        <v>67</v>
      </c>
      <c r="C20" s="7" t="s">
        <v>11</v>
      </c>
      <c r="D20" s="8" t="s">
        <v>12</v>
      </c>
      <c r="E20" s="8" t="s">
        <v>41</v>
      </c>
      <c r="F20" s="13"/>
      <c r="G20" s="10" t="s">
        <v>15</v>
      </c>
      <c r="H20" s="19" t="s">
        <v>68</v>
      </c>
      <c r="I20" s="20"/>
    </row>
    <row r="21" ht="23.25" customHeight="1">
      <c r="A21" s="15">
        <v>2.07218574E8</v>
      </c>
      <c r="B21" s="7" t="s">
        <v>69</v>
      </c>
      <c r="C21" s="7" t="s">
        <v>11</v>
      </c>
      <c r="D21" s="12" t="s">
        <v>12</v>
      </c>
      <c r="E21" s="12" t="s">
        <v>41</v>
      </c>
      <c r="F21" s="13"/>
      <c r="G21" s="10" t="s">
        <v>39</v>
      </c>
      <c r="H21" s="19"/>
      <c r="I21" s="20"/>
    </row>
    <row r="22" ht="23.25" customHeight="1">
      <c r="A22" s="15">
        <v>2.00043606E8</v>
      </c>
      <c r="B22" s="7" t="s">
        <v>70</v>
      </c>
      <c r="C22" s="7" t="s">
        <v>11</v>
      </c>
      <c r="D22" s="12" t="s">
        <v>12</v>
      </c>
      <c r="E22" s="12" t="s">
        <v>71</v>
      </c>
      <c r="F22" s="13"/>
      <c r="G22" s="10"/>
      <c r="H22" s="19"/>
      <c r="I22" s="20"/>
    </row>
    <row r="23" ht="23.25" customHeight="1">
      <c r="A23" s="5">
        <v>2.00038284E8</v>
      </c>
      <c r="B23" s="6" t="s">
        <v>72</v>
      </c>
      <c r="C23" s="7" t="s">
        <v>11</v>
      </c>
      <c r="D23" s="8" t="s">
        <v>12</v>
      </c>
      <c r="E23" s="8" t="s">
        <v>71</v>
      </c>
      <c r="F23" s="13"/>
      <c r="G23" s="10" t="s">
        <v>39</v>
      </c>
      <c r="H23" s="19" t="s">
        <v>73</v>
      </c>
      <c r="I23" s="20"/>
    </row>
    <row r="24" ht="23.25" customHeight="1">
      <c r="A24" s="5">
        <v>2.00036752E8</v>
      </c>
      <c r="B24" s="6" t="s">
        <v>74</v>
      </c>
      <c r="C24" s="7" t="s">
        <v>11</v>
      </c>
      <c r="D24" s="8" t="s">
        <v>12</v>
      </c>
      <c r="E24" s="8" t="s">
        <v>71</v>
      </c>
      <c r="F24" s="13" t="s">
        <v>75</v>
      </c>
      <c r="G24" s="17" t="s">
        <v>28</v>
      </c>
      <c r="H24" s="11" t="s">
        <v>76</v>
      </c>
      <c r="I24" s="6"/>
    </row>
    <row r="25" ht="23.25" customHeight="1">
      <c r="A25" s="15">
        <v>2.00069551E8</v>
      </c>
      <c r="B25" s="7" t="s">
        <v>77</v>
      </c>
      <c r="C25" s="7" t="s">
        <v>11</v>
      </c>
      <c r="D25" s="8" t="s">
        <v>64</v>
      </c>
      <c r="E25" s="8" t="s">
        <v>71</v>
      </c>
      <c r="F25" s="13" t="s">
        <v>78</v>
      </c>
      <c r="G25" s="10" t="s">
        <v>15</v>
      </c>
      <c r="H25" s="21" t="s">
        <v>77</v>
      </c>
      <c r="I25" s="22"/>
    </row>
    <row r="26" ht="23.25" customHeight="1">
      <c r="A26" s="15">
        <v>2.00043234E8</v>
      </c>
      <c r="B26" s="7" t="s">
        <v>79</v>
      </c>
      <c r="C26" s="7" t="s">
        <v>11</v>
      </c>
      <c r="D26" s="8" t="s">
        <v>64</v>
      </c>
      <c r="E26" s="8" t="s">
        <v>71</v>
      </c>
      <c r="F26" s="13" t="s">
        <v>78</v>
      </c>
      <c r="G26" s="10" t="s">
        <v>15</v>
      </c>
      <c r="H26" s="21" t="s">
        <v>80</v>
      </c>
      <c r="I26" s="22"/>
    </row>
    <row r="27" ht="23.25" customHeight="1">
      <c r="A27" s="5">
        <v>2.00056827E8</v>
      </c>
      <c r="B27" s="23" t="s">
        <v>81</v>
      </c>
      <c r="C27" s="7" t="s">
        <v>11</v>
      </c>
      <c r="D27" s="8" t="s">
        <v>12</v>
      </c>
      <c r="E27" s="8" t="s">
        <v>71</v>
      </c>
      <c r="F27" s="13" t="s">
        <v>82</v>
      </c>
      <c r="G27" s="17" t="s">
        <v>28</v>
      </c>
      <c r="H27" s="11" t="s">
        <v>81</v>
      </c>
      <c r="I27" s="6"/>
    </row>
    <row r="28" ht="23.25" customHeight="1">
      <c r="A28" s="15">
        <v>2.00040799E8</v>
      </c>
      <c r="B28" s="7" t="s">
        <v>83</v>
      </c>
      <c r="C28" s="7" t="s">
        <v>11</v>
      </c>
      <c r="D28" s="12" t="s">
        <v>12</v>
      </c>
      <c r="E28" s="12" t="s">
        <v>71</v>
      </c>
      <c r="F28" s="16"/>
      <c r="G28" s="10" t="s">
        <v>84</v>
      </c>
      <c r="H28" s="18" t="s">
        <v>83</v>
      </c>
      <c r="I28" s="7"/>
    </row>
    <row r="29" ht="23.25" customHeight="1">
      <c r="A29" s="5">
        <v>2.00036202E8</v>
      </c>
      <c r="B29" s="7" t="s">
        <v>85</v>
      </c>
      <c r="C29" s="7" t="s">
        <v>11</v>
      </c>
      <c r="D29" s="8" t="s">
        <v>64</v>
      </c>
      <c r="E29" s="8" t="s">
        <v>71</v>
      </c>
      <c r="F29" s="13" t="s">
        <v>86</v>
      </c>
      <c r="G29" s="10" t="s">
        <v>15</v>
      </c>
      <c r="H29" s="19" t="s">
        <v>85</v>
      </c>
      <c r="I29" s="20"/>
    </row>
    <row r="30" ht="23.25" customHeight="1">
      <c r="A30" s="24">
        <v>2.00036488E8</v>
      </c>
      <c r="B30" s="6" t="s">
        <v>87</v>
      </c>
      <c r="C30" s="7" t="s">
        <v>11</v>
      </c>
      <c r="D30" s="8" t="s">
        <v>12</v>
      </c>
      <c r="E30" s="8" t="s">
        <v>71</v>
      </c>
      <c r="F30" s="13"/>
      <c r="G30" s="25"/>
      <c r="H30" s="19" t="s">
        <v>88</v>
      </c>
      <c r="I30" s="20"/>
    </row>
    <row r="31" ht="23.25" customHeight="1">
      <c r="A31" s="5">
        <v>2.00038199E8</v>
      </c>
      <c r="B31" s="7" t="s">
        <v>89</v>
      </c>
      <c r="C31" s="7" t="s">
        <v>11</v>
      </c>
      <c r="D31" s="8" t="s">
        <v>12</v>
      </c>
      <c r="E31" s="8" t="s">
        <v>71</v>
      </c>
      <c r="F31" s="13" t="s">
        <v>90</v>
      </c>
      <c r="G31" s="25"/>
      <c r="H31" s="21"/>
      <c r="I31" s="22"/>
    </row>
    <row r="32" ht="23.25" customHeight="1">
      <c r="A32" s="15">
        <v>2.00031692E8</v>
      </c>
      <c r="B32" s="7" t="s">
        <v>91</v>
      </c>
      <c r="C32" s="7" t="s">
        <v>11</v>
      </c>
      <c r="D32" s="12" t="s">
        <v>12</v>
      </c>
      <c r="E32" s="12" t="s">
        <v>71</v>
      </c>
      <c r="F32" s="13"/>
      <c r="G32" s="25"/>
      <c r="H32" s="21" t="s">
        <v>92</v>
      </c>
      <c r="I32" s="22"/>
    </row>
    <row r="33" ht="23.25" customHeight="1">
      <c r="A33" s="5">
        <v>2.00036201E8</v>
      </c>
      <c r="B33" s="7" t="s">
        <v>93</v>
      </c>
      <c r="C33" s="7" t="s">
        <v>11</v>
      </c>
      <c r="D33" s="8" t="s">
        <v>12</v>
      </c>
      <c r="E33" s="8" t="s">
        <v>71</v>
      </c>
      <c r="F33" s="13" t="s">
        <v>86</v>
      </c>
      <c r="G33" s="10" t="s">
        <v>94</v>
      </c>
      <c r="H33" s="11" t="s">
        <v>93</v>
      </c>
      <c r="I33" s="6"/>
    </row>
    <row r="34" ht="23.25" customHeight="1">
      <c r="A34" s="5">
        <v>2.00038178E8</v>
      </c>
      <c r="B34" s="6" t="s">
        <v>95</v>
      </c>
      <c r="C34" s="7" t="s">
        <v>11</v>
      </c>
      <c r="D34" s="8" t="s">
        <v>12</v>
      </c>
      <c r="E34" s="8" t="s">
        <v>71</v>
      </c>
      <c r="F34" s="13"/>
      <c r="G34" s="10" t="s">
        <v>15</v>
      </c>
      <c r="H34" s="11" t="s">
        <v>96</v>
      </c>
      <c r="I34" s="6"/>
    </row>
    <row r="35" ht="23.25" customHeight="1">
      <c r="A35" s="15">
        <v>2.00036489E8</v>
      </c>
      <c r="B35" s="7" t="s">
        <v>97</v>
      </c>
      <c r="C35" s="7" t="s">
        <v>11</v>
      </c>
      <c r="D35" s="12" t="s">
        <v>64</v>
      </c>
      <c r="E35" s="12" t="s">
        <v>71</v>
      </c>
      <c r="F35" s="16" t="s">
        <v>78</v>
      </c>
      <c r="G35" s="10" t="s">
        <v>15</v>
      </c>
      <c r="H35" s="21" t="s">
        <v>98</v>
      </c>
      <c r="I35" s="22"/>
    </row>
    <row r="36" ht="23.25" customHeight="1">
      <c r="A36" s="5">
        <v>2.0003649E8</v>
      </c>
      <c r="B36" s="7" t="s">
        <v>99</v>
      </c>
      <c r="C36" s="7" t="s">
        <v>11</v>
      </c>
      <c r="D36" s="8" t="s">
        <v>64</v>
      </c>
      <c r="E36" s="8" t="s">
        <v>71</v>
      </c>
      <c r="F36" s="13" t="s">
        <v>100</v>
      </c>
      <c r="G36" s="10" t="s">
        <v>15</v>
      </c>
      <c r="H36" s="21" t="s">
        <v>99</v>
      </c>
      <c r="I36" s="22"/>
    </row>
    <row r="37" ht="23.25" customHeight="1">
      <c r="A37" s="15">
        <v>2.00037413E8</v>
      </c>
      <c r="B37" s="7" t="s">
        <v>101</v>
      </c>
      <c r="C37" s="7" t="s">
        <v>11</v>
      </c>
      <c r="D37" s="8" t="s">
        <v>64</v>
      </c>
      <c r="E37" s="8" t="s">
        <v>71</v>
      </c>
      <c r="F37" s="13" t="s">
        <v>100</v>
      </c>
      <c r="G37" s="10" t="s">
        <v>15</v>
      </c>
      <c r="H37" s="21" t="s">
        <v>101</v>
      </c>
      <c r="I37" s="22"/>
    </row>
    <row r="38" ht="23.25" customHeight="1">
      <c r="A38" s="15">
        <v>2.00039379E8</v>
      </c>
      <c r="B38" s="7" t="s">
        <v>102</v>
      </c>
      <c r="C38" s="7" t="s">
        <v>11</v>
      </c>
      <c r="D38" s="12" t="s">
        <v>64</v>
      </c>
      <c r="E38" s="12" t="s">
        <v>71</v>
      </c>
      <c r="F38" s="13"/>
      <c r="G38" s="10" t="s">
        <v>15</v>
      </c>
      <c r="H38" s="21" t="s">
        <v>102</v>
      </c>
      <c r="I38" s="22"/>
    </row>
    <row r="39" ht="23.25" customHeight="1">
      <c r="A39" s="15">
        <v>2.00036793E8</v>
      </c>
      <c r="B39" s="7" t="s">
        <v>103</v>
      </c>
      <c r="C39" s="7" t="s">
        <v>11</v>
      </c>
      <c r="D39" s="12" t="s">
        <v>51</v>
      </c>
      <c r="E39" s="12" t="s">
        <v>71</v>
      </c>
      <c r="F39" s="13"/>
      <c r="G39" s="10" t="s">
        <v>39</v>
      </c>
      <c r="H39" s="21"/>
      <c r="I39" s="22"/>
    </row>
    <row r="40" ht="23.25" customHeight="1">
      <c r="A40" s="15">
        <v>2.00036792E8</v>
      </c>
      <c r="B40" s="7" t="s">
        <v>104</v>
      </c>
      <c r="C40" s="7" t="s">
        <v>11</v>
      </c>
      <c r="D40" s="12" t="s">
        <v>51</v>
      </c>
      <c r="E40" s="12" t="s">
        <v>71</v>
      </c>
      <c r="F40" s="13"/>
      <c r="G40" s="10" t="s">
        <v>39</v>
      </c>
      <c r="H40" s="21"/>
      <c r="I40" s="22"/>
    </row>
    <row r="41" ht="23.25" customHeight="1">
      <c r="A41" s="15">
        <v>2.00036791E8</v>
      </c>
      <c r="B41" s="7" t="s">
        <v>105</v>
      </c>
      <c r="C41" s="7" t="s">
        <v>11</v>
      </c>
      <c r="D41" s="12" t="s">
        <v>51</v>
      </c>
      <c r="E41" s="12" t="s">
        <v>71</v>
      </c>
      <c r="F41" s="13"/>
      <c r="G41" s="10" t="s">
        <v>39</v>
      </c>
      <c r="H41" s="21"/>
      <c r="I41" s="22"/>
    </row>
    <row r="42" ht="23.25" customHeight="1">
      <c r="A42" s="15">
        <v>2.0000923E8</v>
      </c>
      <c r="B42" s="7" t="s">
        <v>106</v>
      </c>
      <c r="C42" s="7" t="s">
        <v>11</v>
      </c>
      <c r="D42" s="12" t="s">
        <v>51</v>
      </c>
      <c r="E42" s="12" t="s">
        <v>71</v>
      </c>
      <c r="F42" s="13"/>
      <c r="G42" s="10" t="s">
        <v>39</v>
      </c>
      <c r="H42" s="21"/>
      <c r="I42" s="22"/>
    </row>
    <row r="43" ht="23.25" customHeight="1">
      <c r="A43" s="5">
        <v>2.00036941E8</v>
      </c>
      <c r="B43" s="7" t="s">
        <v>107</v>
      </c>
      <c r="C43" s="7" t="s">
        <v>11</v>
      </c>
      <c r="D43" s="8" t="s">
        <v>12</v>
      </c>
      <c r="E43" s="8" t="s">
        <v>71</v>
      </c>
      <c r="F43" s="13" t="s">
        <v>108</v>
      </c>
      <c r="G43" s="10" t="s">
        <v>94</v>
      </c>
      <c r="H43" s="11" t="s">
        <v>107</v>
      </c>
      <c r="I43" s="6"/>
    </row>
    <row r="44" ht="23.25" customHeight="1">
      <c r="A44" s="24">
        <v>2.00036416E8</v>
      </c>
      <c r="B44" s="7" t="s">
        <v>109</v>
      </c>
      <c r="C44" s="7" t="s">
        <v>11</v>
      </c>
      <c r="D44" s="12" t="s">
        <v>12</v>
      </c>
      <c r="E44" s="12" t="s">
        <v>71</v>
      </c>
      <c r="F44" s="16" t="s">
        <v>110</v>
      </c>
      <c r="G44" s="17" t="s">
        <v>28</v>
      </c>
      <c r="H44" s="18" t="s">
        <v>109</v>
      </c>
      <c r="I44" s="7"/>
    </row>
    <row r="45" ht="23.25" customHeight="1">
      <c r="A45" s="5">
        <v>2.00036189E8</v>
      </c>
      <c r="B45" s="6" t="s">
        <v>111</v>
      </c>
      <c r="C45" s="7" t="s">
        <v>11</v>
      </c>
      <c r="D45" s="8" t="s">
        <v>12</v>
      </c>
      <c r="E45" s="8" t="s">
        <v>71</v>
      </c>
      <c r="F45" s="13" t="s">
        <v>112</v>
      </c>
      <c r="G45" s="10" t="s">
        <v>15</v>
      </c>
      <c r="H45" s="19" t="s">
        <v>113</v>
      </c>
      <c r="I45" s="20"/>
    </row>
    <row r="46" ht="23.25" customHeight="1">
      <c r="A46" s="5">
        <v>2.00052793E8</v>
      </c>
      <c r="B46" s="6" t="s">
        <v>114</v>
      </c>
      <c r="C46" s="7" t="s">
        <v>11</v>
      </c>
      <c r="D46" s="8" t="s">
        <v>12</v>
      </c>
      <c r="E46" s="8" t="s">
        <v>71</v>
      </c>
      <c r="F46" s="13" t="s">
        <v>112</v>
      </c>
      <c r="G46" s="17" t="s">
        <v>28</v>
      </c>
      <c r="H46" s="19" t="s">
        <v>114</v>
      </c>
      <c r="I46" s="20"/>
    </row>
    <row r="47" ht="23.25" customHeight="1">
      <c r="A47" s="5">
        <v>2.00060665E8</v>
      </c>
      <c r="B47" s="6" t="s">
        <v>115</v>
      </c>
      <c r="C47" s="7" t="s">
        <v>11</v>
      </c>
      <c r="D47" s="8" t="s">
        <v>12</v>
      </c>
      <c r="E47" s="8" t="s">
        <v>71</v>
      </c>
      <c r="F47" s="13"/>
      <c r="G47" s="10" t="s">
        <v>15</v>
      </c>
      <c r="H47" s="26" t="s">
        <v>115</v>
      </c>
      <c r="I47" s="27"/>
    </row>
    <row r="48" ht="23.25" customHeight="1">
      <c r="A48" s="28">
        <v>2.00041824E8</v>
      </c>
      <c r="B48" s="7" t="s">
        <v>116</v>
      </c>
      <c r="C48" s="7" t="s">
        <v>11</v>
      </c>
      <c r="D48" s="12" t="s">
        <v>51</v>
      </c>
      <c r="E48" s="8" t="s">
        <v>71</v>
      </c>
      <c r="F48" s="13" t="s">
        <v>82</v>
      </c>
      <c r="G48" s="17" t="s">
        <v>28</v>
      </c>
      <c r="H48" s="21" t="s">
        <v>117</v>
      </c>
      <c r="I48" s="22"/>
    </row>
    <row r="49" ht="23.25" customHeight="1">
      <c r="A49" s="15">
        <v>2.00066236E8</v>
      </c>
      <c r="B49" s="7" t="s">
        <v>118</v>
      </c>
      <c r="C49" s="7" t="s">
        <v>11</v>
      </c>
      <c r="D49" s="12" t="s">
        <v>12</v>
      </c>
      <c r="E49" s="12" t="s">
        <v>71</v>
      </c>
      <c r="F49" s="16"/>
      <c r="G49" s="17" t="s">
        <v>28</v>
      </c>
      <c r="H49" s="21" t="s">
        <v>119</v>
      </c>
      <c r="I49" s="22"/>
    </row>
    <row r="50" ht="23.25" customHeight="1">
      <c r="A50" s="5">
        <v>2.00085185E8</v>
      </c>
      <c r="B50" s="7" t="s">
        <v>120</v>
      </c>
      <c r="C50" s="7" t="s">
        <v>11</v>
      </c>
      <c r="D50" s="8" t="s">
        <v>12</v>
      </c>
      <c r="E50" s="8" t="s">
        <v>71</v>
      </c>
      <c r="F50" s="13" t="s">
        <v>121</v>
      </c>
      <c r="G50" s="10" t="s">
        <v>15</v>
      </c>
      <c r="H50" s="19" t="s">
        <v>120</v>
      </c>
      <c r="I50" s="20"/>
    </row>
    <row r="51" ht="23.25" customHeight="1">
      <c r="A51" s="5">
        <v>2.00036618E8</v>
      </c>
      <c r="B51" s="6" t="s">
        <v>122</v>
      </c>
      <c r="C51" s="7" t="s">
        <v>11</v>
      </c>
      <c r="D51" s="8" t="s">
        <v>12</v>
      </c>
      <c r="E51" s="8" t="s">
        <v>71</v>
      </c>
      <c r="F51" s="13"/>
      <c r="G51" s="10" t="s">
        <v>15</v>
      </c>
      <c r="H51" s="6" t="s">
        <v>122</v>
      </c>
      <c r="I51" s="6"/>
    </row>
    <row r="52" ht="23.25" customHeight="1">
      <c r="A52" s="15">
        <v>2.00054364E8</v>
      </c>
      <c r="B52" s="6" t="s">
        <v>123</v>
      </c>
      <c r="C52" s="7" t="s">
        <v>11</v>
      </c>
      <c r="D52" s="8" t="s">
        <v>12</v>
      </c>
      <c r="E52" s="8" t="s">
        <v>71</v>
      </c>
      <c r="F52" s="13" t="s">
        <v>124</v>
      </c>
      <c r="G52" s="17" t="s">
        <v>28</v>
      </c>
      <c r="H52" s="11" t="s">
        <v>125</v>
      </c>
      <c r="I52" s="6"/>
    </row>
    <row r="53" ht="23.25" customHeight="1">
      <c r="A53" s="28">
        <v>2.00048673E8</v>
      </c>
      <c r="B53" s="7" t="s">
        <v>126</v>
      </c>
      <c r="C53" s="7" t="s">
        <v>11</v>
      </c>
      <c r="D53" s="8" t="s">
        <v>51</v>
      </c>
      <c r="E53" s="8" t="s">
        <v>71</v>
      </c>
      <c r="F53" s="13" t="s">
        <v>124</v>
      </c>
      <c r="G53" s="10" t="s">
        <v>94</v>
      </c>
      <c r="H53" s="18" t="s">
        <v>126</v>
      </c>
      <c r="I53" s="7"/>
    </row>
    <row r="54" ht="23.25" customHeight="1">
      <c r="A54" s="15">
        <v>2.00038156E8</v>
      </c>
      <c r="B54" s="7" t="s">
        <v>127</v>
      </c>
      <c r="C54" s="7" t="s">
        <v>11</v>
      </c>
      <c r="D54" s="12" t="s">
        <v>12</v>
      </c>
      <c r="E54" s="12" t="s">
        <v>71</v>
      </c>
      <c r="F54" s="13"/>
      <c r="G54" s="10" t="s">
        <v>15</v>
      </c>
      <c r="H54" s="18" t="s">
        <v>127</v>
      </c>
      <c r="I54" s="7"/>
    </row>
    <row r="55" ht="23.25" customHeight="1">
      <c r="A55" s="5">
        <v>2.00037892E8</v>
      </c>
      <c r="B55" s="6" t="s">
        <v>128</v>
      </c>
      <c r="C55" s="7" t="s">
        <v>11</v>
      </c>
      <c r="D55" s="8" t="s">
        <v>12</v>
      </c>
      <c r="E55" s="8" t="s">
        <v>71</v>
      </c>
      <c r="F55" s="13"/>
      <c r="G55" s="10" t="s">
        <v>15</v>
      </c>
      <c r="H55" s="11" t="s">
        <v>128</v>
      </c>
      <c r="I55" s="6"/>
    </row>
    <row r="56" ht="23.25" customHeight="1">
      <c r="A56" s="5">
        <v>2.00036656E8</v>
      </c>
      <c r="B56" s="6" t="s">
        <v>129</v>
      </c>
      <c r="C56" s="7" t="s">
        <v>11</v>
      </c>
      <c r="D56" s="8" t="s">
        <v>12</v>
      </c>
      <c r="E56" s="8" t="s">
        <v>71</v>
      </c>
      <c r="F56" s="13"/>
      <c r="G56" s="10" t="s">
        <v>15</v>
      </c>
      <c r="H56" s="11" t="s">
        <v>129</v>
      </c>
      <c r="I56" s="6"/>
    </row>
    <row r="57" ht="23.25" customHeight="1">
      <c r="A57" s="5">
        <v>2.00056391E8</v>
      </c>
      <c r="B57" s="6" t="s">
        <v>130</v>
      </c>
      <c r="C57" s="7" t="s">
        <v>11</v>
      </c>
      <c r="D57" s="8" t="s">
        <v>12</v>
      </c>
      <c r="E57" s="8" t="s">
        <v>71</v>
      </c>
      <c r="F57" s="13"/>
      <c r="G57" s="10" t="s">
        <v>15</v>
      </c>
      <c r="H57" s="11" t="s">
        <v>130</v>
      </c>
      <c r="I57" s="6"/>
    </row>
    <row r="58" ht="23.25" customHeight="1">
      <c r="A58" s="5">
        <v>2.00033068E8</v>
      </c>
      <c r="B58" s="7" t="s">
        <v>131</v>
      </c>
      <c r="C58" s="7" t="s">
        <v>11</v>
      </c>
      <c r="D58" s="8" t="s">
        <v>12</v>
      </c>
      <c r="E58" s="8" t="s">
        <v>71</v>
      </c>
      <c r="F58" s="13" t="s">
        <v>132</v>
      </c>
      <c r="G58" s="10" t="s">
        <v>94</v>
      </c>
      <c r="H58" s="19" t="s">
        <v>133</v>
      </c>
      <c r="I58" s="20"/>
    </row>
    <row r="59" ht="23.25" customHeight="1">
      <c r="A59" s="5">
        <v>2.00036577E8</v>
      </c>
      <c r="B59" s="6" t="s">
        <v>134</v>
      </c>
      <c r="C59" s="7" t="s">
        <v>11</v>
      </c>
      <c r="D59" s="8" t="s">
        <v>12</v>
      </c>
      <c r="E59" s="8" t="s">
        <v>71</v>
      </c>
      <c r="F59" s="13"/>
      <c r="G59" s="17" t="s">
        <v>28</v>
      </c>
      <c r="H59" s="11" t="s">
        <v>135</v>
      </c>
      <c r="I59" s="6"/>
    </row>
    <row r="60" ht="23.25" customHeight="1">
      <c r="A60" s="5">
        <v>2.0003678E8</v>
      </c>
      <c r="B60" s="7" t="s">
        <v>136</v>
      </c>
      <c r="C60" s="7" t="s">
        <v>11</v>
      </c>
      <c r="D60" s="8" t="s">
        <v>12</v>
      </c>
      <c r="E60" s="8" t="s">
        <v>71</v>
      </c>
      <c r="F60" s="13" t="s">
        <v>137</v>
      </c>
      <c r="G60" s="10" t="s">
        <v>15</v>
      </c>
      <c r="H60" s="19" t="s">
        <v>136</v>
      </c>
      <c r="I60" s="20"/>
    </row>
    <row r="61" ht="23.25" customHeight="1">
      <c r="A61" s="5">
        <v>2.00058015E8</v>
      </c>
      <c r="B61" s="7" t="s">
        <v>138</v>
      </c>
      <c r="C61" s="7" t="s">
        <v>11</v>
      </c>
      <c r="D61" s="8" t="s">
        <v>12</v>
      </c>
      <c r="E61" s="8" t="s">
        <v>71</v>
      </c>
      <c r="F61" s="13" t="s">
        <v>139</v>
      </c>
      <c r="G61" s="10" t="s">
        <v>15</v>
      </c>
      <c r="H61" s="19" t="s">
        <v>140</v>
      </c>
      <c r="I61" s="20"/>
    </row>
    <row r="62" ht="23.25" customHeight="1">
      <c r="A62" s="5">
        <v>2.00043598E8</v>
      </c>
      <c r="B62" s="6" t="s">
        <v>141</v>
      </c>
      <c r="C62" s="7" t="s">
        <v>11</v>
      </c>
      <c r="D62" s="12" t="s">
        <v>64</v>
      </c>
      <c r="E62" s="8" t="s">
        <v>71</v>
      </c>
      <c r="F62" s="13"/>
      <c r="G62" s="10" t="s">
        <v>15</v>
      </c>
      <c r="H62" s="18" t="s">
        <v>142</v>
      </c>
      <c r="I62" s="7"/>
    </row>
    <row r="63" ht="23.25" customHeight="1">
      <c r="A63" s="5">
        <v>2.00061185E8</v>
      </c>
      <c r="B63" s="6" t="s">
        <v>143</v>
      </c>
      <c r="C63" s="7" t="s">
        <v>11</v>
      </c>
      <c r="D63" s="8" t="s">
        <v>12</v>
      </c>
      <c r="E63" s="8" t="s">
        <v>71</v>
      </c>
      <c r="F63" s="13" t="s">
        <v>124</v>
      </c>
      <c r="G63" s="10" t="s">
        <v>15</v>
      </c>
      <c r="H63" s="11" t="s">
        <v>143</v>
      </c>
      <c r="I63" s="6"/>
    </row>
    <row r="64" ht="23.25" customHeight="1">
      <c r="A64" s="15">
        <v>2.00001528E8</v>
      </c>
      <c r="B64" s="7" t="s">
        <v>144</v>
      </c>
      <c r="C64" s="7" t="s">
        <v>11</v>
      </c>
      <c r="D64" s="8" t="s">
        <v>12</v>
      </c>
      <c r="E64" s="8" t="s">
        <v>71</v>
      </c>
      <c r="F64" s="13" t="s">
        <v>145</v>
      </c>
      <c r="G64" s="10" t="s">
        <v>15</v>
      </c>
      <c r="H64" s="11" t="s">
        <v>146</v>
      </c>
      <c r="I64" s="6"/>
    </row>
    <row r="65" ht="23.25" customHeight="1">
      <c r="A65" s="15">
        <v>2.00036673E8</v>
      </c>
      <c r="B65" s="7" t="s">
        <v>147</v>
      </c>
      <c r="C65" s="7" t="s">
        <v>11</v>
      </c>
      <c r="D65" s="12" t="s">
        <v>12</v>
      </c>
      <c r="E65" s="12" t="s">
        <v>71</v>
      </c>
      <c r="F65" s="16"/>
      <c r="G65" s="17" t="s">
        <v>28</v>
      </c>
      <c r="H65" s="18" t="s">
        <v>147</v>
      </c>
      <c r="I65" s="7"/>
    </row>
    <row r="66" ht="23.25" customHeight="1">
      <c r="A66" s="5">
        <v>2.00031707E8</v>
      </c>
      <c r="B66" s="6" t="s">
        <v>148</v>
      </c>
      <c r="C66" s="7" t="s">
        <v>11</v>
      </c>
      <c r="D66" s="8" t="s">
        <v>12</v>
      </c>
      <c r="E66" s="8" t="s">
        <v>71</v>
      </c>
      <c r="F66" s="13"/>
      <c r="G66" s="25"/>
      <c r="H66" s="19" t="s">
        <v>149</v>
      </c>
      <c r="I66" s="20"/>
    </row>
    <row r="67" ht="23.25" customHeight="1">
      <c r="A67" s="5" t="s">
        <v>150</v>
      </c>
      <c r="B67" s="6" t="s">
        <v>151</v>
      </c>
      <c r="C67" s="7" t="s">
        <v>11</v>
      </c>
      <c r="D67" s="8" t="s">
        <v>12</v>
      </c>
      <c r="E67" s="8" t="s">
        <v>71</v>
      </c>
      <c r="F67" s="16" t="s">
        <v>152</v>
      </c>
      <c r="G67" s="25"/>
      <c r="H67" s="19" t="s">
        <v>151</v>
      </c>
      <c r="I67" s="20"/>
    </row>
    <row r="68" ht="23.25" customHeight="1">
      <c r="A68" s="5">
        <v>2.00064766E8</v>
      </c>
      <c r="B68" s="6" t="s">
        <v>153</v>
      </c>
      <c r="C68" s="7" t="s">
        <v>11</v>
      </c>
      <c r="D68" s="8" t="s">
        <v>12</v>
      </c>
      <c r="E68" s="8" t="s">
        <v>71</v>
      </c>
      <c r="F68" s="13"/>
      <c r="G68" s="14" t="s">
        <v>84</v>
      </c>
      <c r="H68" s="29" t="s">
        <v>154</v>
      </c>
      <c r="I68" s="30"/>
    </row>
    <row r="69" ht="23.25" customHeight="1">
      <c r="A69" s="31">
        <v>2.00043839E8</v>
      </c>
      <c r="B69" s="23" t="s">
        <v>155</v>
      </c>
      <c r="C69" s="7" t="s">
        <v>11</v>
      </c>
      <c r="D69" s="32" t="s">
        <v>12</v>
      </c>
      <c r="E69" s="32" t="s">
        <v>71</v>
      </c>
      <c r="F69" s="33"/>
      <c r="G69" s="17" t="s">
        <v>28</v>
      </c>
      <c r="H69" s="34" t="s">
        <v>156</v>
      </c>
      <c r="I69" s="35"/>
    </row>
    <row r="70" ht="23.25" customHeight="1">
      <c r="A70" s="36">
        <v>2.00066972E8</v>
      </c>
      <c r="B70" s="7" t="s">
        <v>157</v>
      </c>
      <c r="C70" s="7" t="s">
        <v>11</v>
      </c>
      <c r="D70" s="12" t="s">
        <v>12</v>
      </c>
      <c r="E70" s="12" t="s">
        <v>71</v>
      </c>
      <c r="F70" s="16"/>
      <c r="G70" s="25"/>
      <c r="H70" s="18" t="s">
        <v>158</v>
      </c>
      <c r="I70" s="7"/>
    </row>
    <row r="71" ht="23.25" customHeight="1">
      <c r="A71" s="15">
        <v>2.0007495E8</v>
      </c>
      <c r="B71" s="7" t="s">
        <v>159</v>
      </c>
      <c r="C71" s="7" t="s">
        <v>11</v>
      </c>
      <c r="D71" s="12" t="s">
        <v>51</v>
      </c>
      <c r="E71" s="12" t="s">
        <v>71</v>
      </c>
      <c r="F71" s="16" t="s">
        <v>160</v>
      </c>
      <c r="G71" s="25"/>
      <c r="H71" s="21" t="s">
        <v>159</v>
      </c>
      <c r="I71" s="22"/>
    </row>
    <row r="72" ht="23.25" customHeight="1">
      <c r="A72" s="15">
        <v>2.00062843E8</v>
      </c>
      <c r="B72" s="7" t="s">
        <v>161</v>
      </c>
      <c r="C72" s="7" t="s">
        <v>11</v>
      </c>
      <c r="D72" s="12" t="s">
        <v>51</v>
      </c>
      <c r="E72" s="12" t="s">
        <v>71</v>
      </c>
      <c r="F72" s="16" t="s">
        <v>162</v>
      </c>
      <c r="G72" s="25"/>
      <c r="H72" s="21" t="s">
        <v>163</v>
      </c>
      <c r="I72" s="22"/>
    </row>
    <row r="73" ht="23.25" customHeight="1">
      <c r="A73" s="5">
        <v>2.00082939E8</v>
      </c>
      <c r="B73" s="7" t="s">
        <v>164</v>
      </c>
      <c r="C73" s="7" t="s">
        <v>11</v>
      </c>
      <c r="D73" s="12" t="s">
        <v>51</v>
      </c>
      <c r="E73" s="8" t="s">
        <v>71</v>
      </c>
      <c r="F73" s="16" t="s">
        <v>165</v>
      </c>
      <c r="G73" s="37" t="s">
        <v>15</v>
      </c>
      <c r="H73" s="19" t="s">
        <v>166</v>
      </c>
      <c r="I73" s="20"/>
    </row>
    <row r="74" ht="23.25" customHeight="1">
      <c r="A74" s="5">
        <v>2.0008183E8</v>
      </c>
      <c r="B74" s="7" t="s">
        <v>167</v>
      </c>
      <c r="C74" s="7" t="s">
        <v>11</v>
      </c>
      <c r="D74" s="8" t="s">
        <v>51</v>
      </c>
      <c r="E74" s="8" t="s">
        <v>71</v>
      </c>
      <c r="F74" s="13" t="s">
        <v>168</v>
      </c>
      <c r="G74" s="37" t="s">
        <v>15</v>
      </c>
      <c r="H74" s="19" t="s">
        <v>167</v>
      </c>
      <c r="I74" s="20"/>
    </row>
    <row r="75" ht="23.25" customHeight="1">
      <c r="A75" s="15">
        <v>2.00000047E8</v>
      </c>
      <c r="B75" s="7" t="s">
        <v>169</v>
      </c>
      <c r="C75" s="7" t="s">
        <v>170</v>
      </c>
      <c r="D75" s="12" t="s">
        <v>12</v>
      </c>
      <c r="E75" s="12" t="s">
        <v>71</v>
      </c>
      <c r="F75" s="16"/>
      <c r="G75" s="25"/>
      <c r="H75" s="21" t="s">
        <v>171</v>
      </c>
      <c r="I75" s="22"/>
    </row>
    <row r="76" ht="23.25" customHeight="1">
      <c r="A76" s="5">
        <v>2.00052513E8</v>
      </c>
      <c r="B76" s="6" t="s">
        <v>172</v>
      </c>
      <c r="C76" s="7" t="s">
        <v>11</v>
      </c>
      <c r="D76" s="8" t="s">
        <v>12</v>
      </c>
      <c r="E76" s="8" t="s">
        <v>71</v>
      </c>
      <c r="F76" s="13"/>
      <c r="G76" s="25"/>
      <c r="H76" s="27" t="s">
        <v>172</v>
      </c>
      <c r="I76" s="27"/>
    </row>
    <row r="77" ht="23.25" customHeight="1">
      <c r="A77" s="5">
        <v>2.00001052E8</v>
      </c>
      <c r="B77" s="6" t="s">
        <v>173</v>
      </c>
      <c r="C77" s="7" t="s">
        <v>11</v>
      </c>
      <c r="D77" s="8" t="s">
        <v>51</v>
      </c>
      <c r="E77" s="12" t="s">
        <v>71</v>
      </c>
      <c r="F77" s="13" t="s">
        <v>174</v>
      </c>
      <c r="G77" s="25"/>
      <c r="H77" s="20" t="s">
        <v>175</v>
      </c>
      <c r="I77" s="20"/>
    </row>
    <row r="78" ht="23.25" customHeight="1">
      <c r="A78" s="5">
        <v>2.00036733E8</v>
      </c>
      <c r="B78" s="7" t="s">
        <v>176</v>
      </c>
      <c r="C78" s="7" t="s">
        <v>11</v>
      </c>
      <c r="D78" s="8" t="s">
        <v>12</v>
      </c>
      <c r="E78" s="8" t="s">
        <v>71</v>
      </c>
      <c r="F78" s="13"/>
      <c r="G78" s="37" t="s">
        <v>15</v>
      </c>
      <c r="H78" s="20" t="s">
        <v>177</v>
      </c>
      <c r="I78" s="20"/>
    </row>
    <row r="79" ht="23.25" customHeight="1">
      <c r="A79" s="15">
        <v>2.00066176E8</v>
      </c>
      <c r="B79" s="7" t="s">
        <v>178</v>
      </c>
      <c r="C79" s="7" t="s">
        <v>11</v>
      </c>
      <c r="D79" s="12" t="s">
        <v>12</v>
      </c>
      <c r="E79" s="12" t="s">
        <v>71</v>
      </c>
      <c r="F79" s="13"/>
      <c r="G79" s="37" t="s">
        <v>179</v>
      </c>
      <c r="H79" s="20"/>
      <c r="I79" s="20"/>
    </row>
    <row r="80" ht="23.25" customHeight="1">
      <c r="A80" s="5">
        <v>2.00062977E8</v>
      </c>
      <c r="B80" s="7" t="s">
        <v>180</v>
      </c>
      <c r="C80" s="7" t="s">
        <v>11</v>
      </c>
      <c r="D80" s="8" t="s">
        <v>12</v>
      </c>
      <c r="E80" s="8" t="s">
        <v>71</v>
      </c>
      <c r="F80" s="13"/>
      <c r="G80" s="37" t="s">
        <v>15</v>
      </c>
      <c r="H80" s="20" t="s">
        <v>180</v>
      </c>
      <c r="I80" s="20"/>
    </row>
    <row r="81" ht="23.25" customHeight="1">
      <c r="A81" s="15">
        <v>2.00000408E8</v>
      </c>
      <c r="B81" s="7" t="s">
        <v>181</v>
      </c>
      <c r="C81" s="7" t="s">
        <v>11</v>
      </c>
      <c r="D81" s="12" t="s">
        <v>12</v>
      </c>
      <c r="E81" s="12" t="s">
        <v>182</v>
      </c>
      <c r="F81" s="13"/>
      <c r="G81" s="25"/>
      <c r="H81" s="6"/>
      <c r="I81" s="6"/>
    </row>
    <row r="82" ht="23.25" customHeight="1">
      <c r="A82" s="5">
        <v>2.0003653E8</v>
      </c>
      <c r="B82" s="6" t="s">
        <v>183</v>
      </c>
      <c r="C82" s="7" t="s">
        <v>11</v>
      </c>
      <c r="D82" s="8" t="s">
        <v>12</v>
      </c>
      <c r="E82" s="8" t="s">
        <v>182</v>
      </c>
      <c r="F82" s="13"/>
      <c r="G82" s="25"/>
      <c r="H82" s="11" t="s">
        <v>184</v>
      </c>
      <c r="I82" s="6"/>
    </row>
    <row r="83" ht="23.25" customHeight="1">
      <c r="A83" s="5" t="s">
        <v>185</v>
      </c>
      <c r="B83" s="6" t="s">
        <v>186</v>
      </c>
      <c r="C83" s="7" t="s">
        <v>11</v>
      </c>
      <c r="D83" s="8" t="s">
        <v>187</v>
      </c>
      <c r="E83" s="8" t="s">
        <v>182</v>
      </c>
      <c r="F83" s="13"/>
      <c r="G83" s="25"/>
      <c r="H83" s="11" t="s">
        <v>186</v>
      </c>
      <c r="I83" s="6"/>
    </row>
    <row r="84" ht="23.25" customHeight="1">
      <c r="A84" s="5">
        <v>2.00070056E8</v>
      </c>
      <c r="B84" s="6" t="s">
        <v>188</v>
      </c>
      <c r="C84" s="7" t="s">
        <v>11</v>
      </c>
      <c r="D84" s="8" t="s">
        <v>12</v>
      </c>
      <c r="E84" s="8" t="s">
        <v>182</v>
      </c>
      <c r="F84" s="38"/>
      <c r="G84" s="25"/>
      <c r="H84" s="11" t="s">
        <v>189</v>
      </c>
      <c r="I84" s="6"/>
    </row>
    <row r="85" ht="23.25" customHeight="1">
      <c r="A85" s="5">
        <v>2.00061213E8</v>
      </c>
      <c r="B85" s="6" t="s">
        <v>190</v>
      </c>
      <c r="C85" s="7" t="s">
        <v>11</v>
      </c>
      <c r="D85" s="8" t="s">
        <v>12</v>
      </c>
      <c r="E85" s="8" t="s">
        <v>182</v>
      </c>
      <c r="F85" s="13"/>
      <c r="G85" s="25"/>
      <c r="H85" s="11" t="s">
        <v>191</v>
      </c>
      <c r="I85" s="6"/>
    </row>
    <row r="86" ht="23.25" customHeight="1">
      <c r="A86" s="15">
        <v>2.00001302E8</v>
      </c>
      <c r="B86" s="7" t="s">
        <v>192</v>
      </c>
      <c r="C86" s="7" t="s">
        <v>11</v>
      </c>
      <c r="D86" s="12" t="s">
        <v>12</v>
      </c>
      <c r="E86" s="12" t="s">
        <v>193</v>
      </c>
      <c r="F86" s="13"/>
      <c r="G86" s="25"/>
      <c r="H86" s="7"/>
      <c r="I86" s="7"/>
    </row>
    <row r="87" ht="23.25" customHeight="1">
      <c r="A87" s="15">
        <v>2.00000054E8</v>
      </c>
      <c r="B87" s="7" t="s">
        <v>194</v>
      </c>
      <c r="C87" s="7" t="s">
        <v>195</v>
      </c>
      <c r="D87" s="12" t="s">
        <v>12</v>
      </c>
      <c r="E87" s="12" t="s">
        <v>193</v>
      </c>
      <c r="F87" s="13"/>
      <c r="G87" s="25"/>
      <c r="H87" s="7" t="s">
        <v>194</v>
      </c>
      <c r="I87" s="7"/>
    </row>
    <row r="88" ht="23.25" customHeight="1">
      <c r="A88" s="15">
        <v>2.00000048E8</v>
      </c>
      <c r="B88" s="7" t="s">
        <v>196</v>
      </c>
      <c r="C88" s="7" t="s">
        <v>197</v>
      </c>
      <c r="D88" s="12" t="s">
        <v>12</v>
      </c>
      <c r="E88" s="12" t="s">
        <v>193</v>
      </c>
      <c r="F88" s="13" t="s">
        <v>198</v>
      </c>
      <c r="G88" s="25"/>
      <c r="H88" s="7" t="s">
        <v>196</v>
      </c>
      <c r="I88" s="7"/>
    </row>
    <row r="89" ht="23.25" customHeight="1">
      <c r="A89" s="15">
        <v>2.0000005E8</v>
      </c>
      <c r="B89" s="7" t="s">
        <v>199</v>
      </c>
      <c r="C89" s="7" t="s">
        <v>197</v>
      </c>
      <c r="D89" s="12" t="s">
        <v>12</v>
      </c>
      <c r="E89" s="12" t="s">
        <v>193</v>
      </c>
      <c r="F89" s="13" t="s">
        <v>198</v>
      </c>
      <c r="G89" s="25"/>
      <c r="H89" s="18" t="s">
        <v>199</v>
      </c>
      <c r="I89" s="7"/>
    </row>
    <row r="90" ht="23.25" customHeight="1">
      <c r="A90" s="15">
        <v>2.00000049E8</v>
      </c>
      <c r="B90" s="7" t="s">
        <v>200</v>
      </c>
      <c r="C90" s="7" t="s">
        <v>197</v>
      </c>
      <c r="D90" s="12" t="s">
        <v>12</v>
      </c>
      <c r="E90" s="12" t="s">
        <v>193</v>
      </c>
      <c r="F90" s="13" t="s">
        <v>198</v>
      </c>
      <c r="G90" s="25"/>
      <c r="H90" s="18" t="s">
        <v>200</v>
      </c>
      <c r="I90" s="7"/>
    </row>
    <row r="91" ht="23.25" customHeight="1">
      <c r="A91" s="15">
        <v>2.00000051E8</v>
      </c>
      <c r="B91" s="7" t="s">
        <v>201</v>
      </c>
      <c r="C91" s="7" t="s">
        <v>197</v>
      </c>
      <c r="D91" s="12" t="s">
        <v>12</v>
      </c>
      <c r="E91" s="12" t="s">
        <v>193</v>
      </c>
      <c r="F91" s="13" t="s">
        <v>198</v>
      </c>
      <c r="G91" s="25"/>
      <c r="H91" s="7" t="s">
        <v>201</v>
      </c>
      <c r="I91" s="7"/>
    </row>
    <row r="92" ht="23.25" customHeight="1">
      <c r="A92" s="15">
        <v>2.00000055E8</v>
      </c>
      <c r="B92" s="7" t="s">
        <v>202</v>
      </c>
      <c r="C92" s="7" t="s">
        <v>195</v>
      </c>
      <c r="D92" s="12" t="s">
        <v>12</v>
      </c>
      <c r="E92" s="12" t="s">
        <v>193</v>
      </c>
      <c r="F92" s="13"/>
      <c r="G92" s="25"/>
      <c r="H92" s="21" t="s">
        <v>203</v>
      </c>
      <c r="I92" s="22"/>
    </row>
    <row r="93" ht="23.25" customHeight="1">
      <c r="A93" s="15">
        <v>2.00000024E8</v>
      </c>
      <c r="B93" s="7" t="s">
        <v>204</v>
      </c>
      <c r="C93" s="7" t="s">
        <v>197</v>
      </c>
      <c r="D93" s="12" t="s">
        <v>12</v>
      </c>
      <c r="E93" s="8" t="s">
        <v>193</v>
      </c>
      <c r="F93" s="13" t="s">
        <v>198</v>
      </c>
      <c r="G93" s="25"/>
      <c r="H93" s="39" t="s">
        <v>205</v>
      </c>
      <c r="I93" s="40"/>
    </row>
    <row r="94" ht="23.25" customHeight="1">
      <c r="A94" s="5" t="s">
        <v>206</v>
      </c>
      <c r="B94" s="7" t="s">
        <v>207</v>
      </c>
      <c r="C94" s="7" t="s">
        <v>197</v>
      </c>
      <c r="D94" s="8" t="s">
        <v>12</v>
      </c>
      <c r="E94" s="8" t="s">
        <v>193</v>
      </c>
      <c r="F94" s="13" t="s">
        <v>198</v>
      </c>
      <c r="G94" s="25"/>
      <c r="H94" s="39" t="s">
        <v>208</v>
      </c>
      <c r="I94" s="40"/>
    </row>
    <row r="95" ht="23.25" customHeight="1">
      <c r="A95" s="15">
        <v>2.00000026E8</v>
      </c>
      <c r="B95" s="7" t="s">
        <v>209</v>
      </c>
      <c r="C95" s="7" t="s">
        <v>197</v>
      </c>
      <c r="D95" s="8" t="s">
        <v>12</v>
      </c>
      <c r="E95" s="8" t="s">
        <v>193</v>
      </c>
      <c r="F95" s="13" t="s">
        <v>198</v>
      </c>
      <c r="G95" s="25"/>
      <c r="H95" s="21" t="s">
        <v>210</v>
      </c>
      <c r="I95" s="22"/>
    </row>
    <row r="96" ht="23.25" customHeight="1">
      <c r="A96" s="5" t="s">
        <v>211</v>
      </c>
      <c r="B96" s="7" t="s">
        <v>212</v>
      </c>
      <c r="C96" s="7" t="s">
        <v>197</v>
      </c>
      <c r="D96" s="8" t="s">
        <v>12</v>
      </c>
      <c r="E96" s="8" t="s">
        <v>193</v>
      </c>
      <c r="F96" s="13" t="s">
        <v>198</v>
      </c>
      <c r="G96" s="25"/>
      <c r="H96" s="22" t="s">
        <v>213</v>
      </c>
      <c r="I96" s="22"/>
    </row>
    <row r="97" ht="23.25" customHeight="1">
      <c r="A97" s="15">
        <v>2.00000056E8</v>
      </c>
      <c r="B97" s="7" t="s">
        <v>214</v>
      </c>
      <c r="C97" s="7" t="s">
        <v>195</v>
      </c>
      <c r="D97" s="12" t="s">
        <v>12</v>
      </c>
      <c r="E97" s="12" t="s">
        <v>193</v>
      </c>
      <c r="F97" s="13"/>
      <c r="G97" s="25"/>
      <c r="H97" s="22" t="s">
        <v>215</v>
      </c>
      <c r="I97" s="22"/>
    </row>
    <row r="98" ht="23.25" customHeight="1">
      <c r="A98" s="15">
        <v>2.00000058E8</v>
      </c>
      <c r="B98" s="7" t="s">
        <v>216</v>
      </c>
      <c r="C98" s="7" t="s">
        <v>195</v>
      </c>
      <c r="D98" s="12" t="s">
        <v>12</v>
      </c>
      <c r="E98" s="12" t="s">
        <v>193</v>
      </c>
      <c r="F98" s="13"/>
      <c r="G98" s="25"/>
      <c r="H98" s="7" t="s">
        <v>217</v>
      </c>
      <c r="I98" s="7"/>
    </row>
    <row r="99" ht="23.25" customHeight="1">
      <c r="A99" s="15">
        <v>2.0000006E8</v>
      </c>
      <c r="B99" s="7" t="s">
        <v>218</v>
      </c>
      <c r="C99" s="7" t="s">
        <v>195</v>
      </c>
      <c r="D99" s="12" t="s">
        <v>12</v>
      </c>
      <c r="E99" s="12" t="s">
        <v>193</v>
      </c>
      <c r="F99" s="13"/>
      <c r="G99" s="25"/>
      <c r="H99" s="7" t="s">
        <v>219</v>
      </c>
      <c r="I99" s="7"/>
    </row>
    <row r="100" ht="23.25" customHeight="1">
      <c r="A100" s="15">
        <v>2.00000057E8</v>
      </c>
      <c r="B100" s="7" t="s">
        <v>220</v>
      </c>
      <c r="C100" s="7" t="s">
        <v>195</v>
      </c>
      <c r="D100" s="12" t="s">
        <v>12</v>
      </c>
      <c r="E100" s="12" t="s">
        <v>193</v>
      </c>
      <c r="F100" s="13"/>
      <c r="G100" s="25"/>
      <c r="H100" s="7" t="s">
        <v>221</v>
      </c>
      <c r="I100" s="7"/>
    </row>
    <row r="101" ht="23.25" customHeight="1">
      <c r="A101" s="5" t="s">
        <v>222</v>
      </c>
      <c r="B101" s="7" t="s">
        <v>223</v>
      </c>
      <c r="C101" s="7" t="s">
        <v>11</v>
      </c>
      <c r="D101" s="12" t="s">
        <v>12</v>
      </c>
      <c r="E101" s="8" t="s">
        <v>193</v>
      </c>
      <c r="F101" s="13" t="s">
        <v>224</v>
      </c>
      <c r="G101" s="25"/>
      <c r="H101" s="20" t="s">
        <v>225</v>
      </c>
      <c r="I101" s="20"/>
    </row>
    <row r="102" ht="23.25" customHeight="1">
      <c r="A102" s="15">
        <v>2.00000064E8</v>
      </c>
      <c r="B102" s="7" t="s">
        <v>226</v>
      </c>
      <c r="C102" s="7" t="s">
        <v>195</v>
      </c>
      <c r="D102" s="12" t="s">
        <v>12</v>
      </c>
      <c r="E102" s="12" t="s">
        <v>193</v>
      </c>
      <c r="F102" s="13"/>
      <c r="G102" s="25"/>
      <c r="H102" s="18" t="s">
        <v>227</v>
      </c>
      <c r="I102" s="7"/>
    </row>
    <row r="103" ht="23.25" customHeight="1">
      <c r="A103" s="15">
        <v>2.00000061E8</v>
      </c>
      <c r="B103" s="7" t="s">
        <v>228</v>
      </c>
      <c r="C103" s="7" t="s">
        <v>195</v>
      </c>
      <c r="D103" s="12" t="s">
        <v>12</v>
      </c>
      <c r="E103" s="12" t="s">
        <v>193</v>
      </c>
      <c r="F103" s="13"/>
      <c r="G103" s="25"/>
      <c r="H103" s="7" t="s">
        <v>229</v>
      </c>
      <c r="I103" s="7"/>
    </row>
    <row r="104" ht="23.25" customHeight="1">
      <c r="A104" s="15">
        <v>2.00000059E8</v>
      </c>
      <c r="B104" s="7" t="s">
        <v>230</v>
      </c>
      <c r="C104" s="7" t="s">
        <v>195</v>
      </c>
      <c r="D104" s="12" t="s">
        <v>12</v>
      </c>
      <c r="E104" s="12" t="s">
        <v>193</v>
      </c>
      <c r="F104" s="13"/>
      <c r="G104" s="25"/>
      <c r="H104" s="21" t="s">
        <v>231</v>
      </c>
      <c r="I104" s="22"/>
    </row>
    <row r="105" ht="23.25" customHeight="1">
      <c r="A105" s="15">
        <v>2.00000063E8</v>
      </c>
      <c r="B105" s="7" t="s">
        <v>232</v>
      </c>
      <c r="C105" s="7" t="s">
        <v>195</v>
      </c>
      <c r="D105" s="12" t="s">
        <v>12</v>
      </c>
      <c r="E105" s="12" t="s">
        <v>193</v>
      </c>
      <c r="F105" s="13"/>
      <c r="G105" s="25"/>
      <c r="H105" s="18" t="s">
        <v>232</v>
      </c>
      <c r="I105" s="7"/>
    </row>
    <row r="106" ht="23.25" customHeight="1">
      <c r="A106" s="15">
        <v>2.00000022E8</v>
      </c>
      <c r="B106" s="6" t="s">
        <v>233</v>
      </c>
      <c r="C106" s="7" t="s">
        <v>11</v>
      </c>
      <c r="D106" s="12" t="s">
        <v>12</v>
      </c>
      <c r="E106" s="12" t="s">
        <v>193</v>
      </c>
      <c r="F106" s="13" t="s">
        <v>234</v>
      </c>
      <c r="G106" s="25"/>
      <c r="H106" s="20" t="s">
        <v>235</v>
      </c>
      <c r="I106" s="20"/>
    </row>
    <row r="107" ht="23.25" customHeight="1">
      <c r="A107" s="15">
        <v>2.00000062E8</v>
      </c>
      <c r="B107" s="7" t="s">
        <v>236</v>
      </c>
      <c r="C107" s="7" t="s">
        <v>195</v>
      </c>
      <c r="D107" s="12" t="s">
        <v>12</v>
      </c>
      <c r="E107" s="12" t="s">
        <v>193</v>
      </c>
      <c r="F107" s="13"/>
      <c r="G107" s="25"/>
      <c r="H107" s="18" t="s">
        <v>236</v>
      </c>
      <c r="I107" s="7"/>
    </row>
    <row r="108" ht="23.25" customHeight="1">
      <c r="A108" s="31">
        <v>2.00000033E8</v>
      </c>
      <c r="B108" s="41" t="s">
        <v>237</v>
      </c>
      <c r="C108" s="7" t="s">
        <v>11</v>
      </c>
      <c r="D108" s="32" t="s">
        <v>12</v>
      </c>
      <c r="E108" s="32" t="s">
        <v>238</v>
      </c>
      <c r="F108" s="42" t="s">
        <v>239</v>
      </c>
      <c r="G108" s="25"/>
      <c r="H108" s="43"/>
      <c r="I108" s="44"/>
    </row>
    <row r="109" ht="23.25" customHeight="1">
      <c r="A109" s="31">
        <v>7.0101029E8</v>
      </c>
      <c r="B109" s="45" t="s">
        <v>240</v>
      </c>
      <c r="C109" s="7" t="s">
        <v>241</v>
      </c>
      <c r="D109" s="32" t="s">
        <v>12</v>
      </c>
      <c r="E109" s="32" t="s">
        <v>242</v>
      </c>
      <c r="F109" s="16" t="s">
        <v>241</v>
      </c>
      <c r="G109" s="46"/>
      <c r="H109" s="34" t="s">
        <v>243</v>
      </c>
      <c r="I109" s="35"/>
    </row>
    <row r="110" ht="23.25" customHeight="1">
      <c r="A110" s="15">
        <v>2.00042537E8</v>
      </c>
      <c r="B110" s="47" t="s">
        <v>244</v>
      </c>
      <c r="C110" s="7" t="s">
        <v>11</v>
      </c>
      <c r="D110" s="32" t="s">
        <v>12</v>
      </c>
      <c r="E110" s="32" t="s">
        <v>242</v>
      </c>
      <c r="F110" s="48" t="s">
        <v>245</v>
      </c>
      <c r="G110" s="49"/>
      <c r="H110" s="50" t="s">
        <v>246</v>
      </c>
      <c r="I110" s="51"/>
    </row>
    <row r="111" ht="23.25" customHeight="1">
      <c r="A111" s="15">
        <v>2.0008597E8</v>
      </c>
      <c r="B111" s="7" t="s">
        <v>247</v>
      </c>
      <c r="C111" s="7" t="s">
        <v>11</v>
      </c>
      <c r="D111" s="12" t="s">
        <v>12</v>
      </c>
      <c r="E111" s="12" t="s">
        <v>242</v>
      </c>
      <c r="F111" s="16" t="s">
        <v>248</v>
      </c>
      <c r="G111" s="37"/>
      <c r="H111" s="18" t="s">
        <v>249</v>
      </c>
      <c r="I111" s="7"/>
    </row>
    <row r="112" ht="23.25" customHeight="1">
      <c r="A112" s="15">
        <v>2.00000098E8</v>
      </c>
      <c r="B112" s="7" t="s">
        <v>250</v>
      </c>
      <c r="C112" s="7"/>
      <c r="D112" s="52"/>
      <c r="E112" s="12" t="s">
        <v>242</v>
      </c>
      <c r="F112" s="13"/>
      <c r="G112" s="25"/>
      <c r="H112" s="7"/>
      <c r="I112" s="7"/>
    </row>
    <row r="113" ht="23.25" customHeight="1">
      <c r="A113" s="15">
        <v>2.00000097E8</v>
      </c>
      <c r="B113" s="7" t="s">
        <v>251</v>
      </c>
      <c r="C113" s="7" t="s">
        <v>11</v>
      </c>
      <c r="D113" s="12" t="s">
        <v>12</v>
      </c>
      <c r="E113" s="12" t="s">
        <v>242</v>
      </c>
      <c r="F113" s="13"/>
      <c r="G113" s="25"/>
      <c r="H113" s="7" t="s">
        <v>251</v>
      </c>
      <c r="I113" s="7"/>
    </row>
    <row r="114" ht="23.25" customHeight="1">
      <c r="A114" s="15">
        <v>2.00077416E8</v>
      </c>
      <c r="B114" s="7" t="s">
        <v>252</v>
      </c>
      <c r="C114" s="7" t="s">
        <v>11</v>
      </c>
      <c r="D114" s="8" t="s">
        <v>51</v>
      </c>
      <c r="E114" s="8" t="s">
        <v>242</v>
      </c>
      <c r="F114" s="13" t="s">
        <v>253</v>
      </c>
      <c r="G114" s="25"/>
      <c r="H114" s="18" t="s">
        <v>252</v>
      </c>
      <c r="I114" s="7"/>
    </row>
    <row r="115" ht="23.25" customHeight="1">
      <c r="A115" s="15">
        <v>2.00043608E8</v>
      </c>
      <c r="B115" s="23" t="s">
        <v>254</v>
      </c>
      <c r="C115" s="7" t="s">
        <v>11</v>
      </c>
      <c r="D115" s="12" t="s">
        <v>187</v>
      </c>
      <c r="E115" s="12" t="s">
        <v>242</v>
      </c>
      <c r="F115" s="16"/>
      <c r="G115" s="37"/>
      <c r="H115" s="23" t="s">
        <v>254</v>
      </c>
      <c r="I115" s="7"/>
    </row>
    <row r="116" ht="23.25" customHeight="1">
      <c r="A116" s="5">
        <v>2.0004416E8</v>
      </c>
      <c r="B116" s="6" t="s">
        <v>255</v>
      </c>
      <c r="C116" s="7" t="s">
        <v>11</v>
      </c>
      <c r="D116" s="8" t="s">
        <v>12</v>
      </c>
      <c r="E116" s="12" t="s">
        <v>242</v>
      </c>
      <c r="F116" s="13"/>
      <c r="G116" s="25"/>
      <c r="H116" s="11" t="s">
        <v>255</v>
      </c>
      <c r="I116" s="6"/>
    </row>
    <row r="117" ht="23.25" customHeight="1">
      <c r="A117" s="15">
        <v>2.00083821E8</v>
      </c>
      <c r="B117" s="7" t="s">
        <v>256</v>
      </c>
      <c r="C117" s="7" t="s">
        <v>11</v>
      </c>
      <c r="D117" s="12" t="s">
        <v>257</v>
      </c>
      <c r="E117" s="12" t="s">
        <v>242</v>
      </c>
      <c r="F117" s="16"/>
      <c r="G117" s="25"/>
      <c r="H117" s="18" t="s">
        <v>258</v>
      </c>
      <c r="I117" s="7"/>
    </row>
    <row r="118" ht="23.25" customHeight="1">
      <c r="A118" s="15">
        <v>2.00083824E8</v>
      </c>
      <c r="B118" s="7" t="s">
        <v>259</v>
      </c>
      <c r="C118" s="7" t="s">
        <v>11</v>
      </c>
      <c r="D118" s="12" t="s">
        <v>257</v>
      </c>
      <c r="E118" s="12" t="s">
        <v>242</v>
      </c>
      <c r="F118" s="16"/>
      <c r="G118" s="25"/>
      <c r="H118" s="18" t="s">
        <v>260</v>
      </c>
      <c r="I118" s="7"/>
    </row>
    <row r="119" ht="23.25" customHeight="1">
      <c r="A119" s="15">
        <v>2.00083825E8</v>
      </c>
      <c r="B119" s="7" t="s">
        <v>261</v>
      </c>
      <c r="C119" s="7" t="s">
        <v>11</v>
      </c>
      <c r="D119" s="12" t="s">
        <v>257</v>
      </c>
      <c r="E119" s="12" t="s">
        <v>242</v>
      </c>
      <c r="F119" s="16"/>
      <c r="G119" s="25"/>
      <c r="H119" s="18" t="s">
        <v>262</v>
      </c>
      <c r="I119" s="7"/>
    </row>
    <row r="120" ht="23.25" customHeight="1">
      <c r="A120" s="15">
        <v>2.00083812E8</v>
      </c>
      <c r="B120" s="7" t="s">
        <v>263</v>
      </c>
      <c r="C120" s="7" t="s">
        <v>11</v>
      </c>
      <c r="D120" s="12" t="s">
        <v>257</v>
      </c>
      <c r="E120" s="12" t="s">
        <v>242</v>
      </c>
      <c r="F120" s="16"/>
      <c r="G120" s="25"/>
      <c r="H120" s="18" t="s">
        <v>264</v>
      </c>
      <c r="I120" s="7"/>
    </row>
    <row r="121" ht="23.25" customHeight="1">
      <c r="A121" s="5" t="s">
        <v>265</v>
      </c>
      <c r="B121" s="6" t="s">
        <v>266</v>
      </c>
      <c r="C121" s="7" t="s">
        <v>11</v>
      </c>
      <c r="D121" s="12" t="s">
        <v>51</v>
      </c>
      <c r="E121" s="8" t="s">
        <v>242</v>
      </c>
      <c r="F121" s="13" t="s">
        <v>267</v>
      </c>
      <c r="G121" s="37" t="s">
        <v>15</v>
      </c>
      <c r="H121" s="11" t="s">
        <v>268</v>
      </c>
      <c r="I121" s="6"/>
    </row>
    <row r="122" ht="23.25" customHeight="1">
      <c r="A122" s="5">
        <v>2.00001032E8</v>
      </c>
      <c r="B122" s="6" t="s">
        <v>269</v>
      </c>
      <c r="C122" s="7" t="s">
        <v>11</v>
      </c>
      <c r="D122" s="8" t="s">
        <v>64</v>
      </c>
      <c r="E122" s="8" t="s">
        <v>242</v>
      </c>
      <c r="F122" s="13"/>
      <c r="G122" s="25"/>
      <c r="H122" s="11" t="s">
        <v>269</v>
      </c>
      <c r="I122" s="6"/>
    </row>
    <row r="123" ht="23.25" customHeight="1">
      <c r="A123" s="5" t="s">
        <v>270</v>
      </c>
      <c r="B123" s="7" t="s">
        <v>271</v>
      </c>
      <c r="C123" s="7" t="s">
        <v>11</v>
      </c>
      <c r="D123" s="12" t="s">
        <v>64</v>
      </c>
      <c r="E123" s="8" t="s">
        <v>242</v>
      </c>
      <c r="F123" s="13" t="s">
        <v>272</v>
      </c>
      <c r="G123" s="37" t="s">
        <v>15</v>
      </c>
      <c r="H123" s="19" t="s">
        <v>273</v>
      </c>
      <c r="I123" s="20"/>
    </row>
    <row r="124" ht="23.25" customHeight="1">
      <c r="A124" s="15">
        <v>2.00000037E8</v>
      </c>
      <c r="B124" s="7" t="s">
        <v>274</v>
      </c>
      <c r="C124" s="7" t="s">
        <v>170</v>
      </c>
      <c r="D124" s="12" t="s">
        <v>12</v>
      </c>
      <c r="E124" s="12" t="s">
        <v>242</v>
      </c>
      <c r="F124" s="16" t="s">
        <v>170</v>
      </c>
      <c r="G124" s="46"/>
      <c r="H124" s="18" t="s">
        <v>275</v>
      </c>
      <c r="I124" s="7"/>
    </row>
    <row r="125" ht="23.25" customHeight="1">
      <c r="A125" s="15">
        <v>2.00000036E8</v>
      </c>
      <c r="B125" s="7" t="s">
        <v>276</v>
      </c>
      <c r="C125" s="7" t="s">
        <v>170</v>
      </c>
      <c r="D125" s="12" t="s">
        <v>12</v>
      </c>
      <c r="E125" s="12" t="s">
        <v>242</v>
      </c>
      <c r="F125" s="16" t="s">
        <v>170</v>
      </c>
      <c r="G125" s="46"/>
      <c r="H125" s="18" t="s">
        <v>275</v>
      </c>
      <c r="I125" s="7"/>
    </row>
    <row r="126" ht="23.25" customHeight="1">
      <c r="A126" s="15">
        <v>2.00000035E8</v>
      </c>
      <c r="B126" s="7" t="s">
        <v>277</v>
      </c>
      <c r="C126" s="7" t="s">
        <v>170</v>
      </c>
      <c r="D126" s="12" t="s">
        <v>12</v>
      </c>
      <c r="E126" s="12" t="s">
        <v>242</v>
      </c>
      <c r="F126" s="16" t="s">
        <v>170</v>
      </c>
      <c r="G126" s="46"/>
      <c r="H126" s="18" t="s">
        <v>275</v>
      </c>
      <c r="I126" s="7"/>
    </row>
    <row r="127" ht="23.25" customHeight="1">
      <c r="A127" s="5">
        <v>2.00086234E8</v>
      </c>
      <c r="B127" s="6" t="s">
        <v>278</v>
      </c>
      <c r="C127" s="7" t="s">
        <v>11</v>
      </c>
      <c r="D127" s="8" t="s">
        <v>12</v>
      </c>
      <c r="E127" s="8" t="s">
        <v>242</v>
      </c>
      <c r="F127" s="13"/>
      <c r="G127" s="25"/>
      <c r="H127" s="11" t="s">
        <v>279</v>
      </c>
      <c r="I127" s="6"/>
    </row>
    <row r="128" ht="23.25" customHeight="1">
      <c r="A128" s="31">
        <v>2.00000031E8</v>
      </c>
      <c r="B128" s="53" t="s">
        <v>280</v>
      </c>
      <c r="C128" s="7" t="s">
        <v>241</v>
      </c>
      <c r="D128" s="32" t="s">
        <v>12</v>
      </c>
      <c r="E128" s="32" t="s">
        <v>242</v>
      </c>
      <c r="F128" s="16" t="s">
        <v>241</v>
      </c>
      <c r="G128" s="46"/>
      <c r="H128" s="54" t="s">
        <v>281</v>
      </c>
      <c r="I128" s="55"/>
    </row>
    <row r="129" ht="23.25" customHeight="1">
      <c r="A129" s="31">
        <v>2.30621029E8</v>
      </c>
      <c r="B129" s="56" t="s">
        <v>282</v>
      </c>
      <c r="C129" s="7" t="s">
        <v>11</v>
      </c>
      <c r="D129" s="32" t="s">
        <v>12</v>
      </c>
      <c r="E129" s="32" t="s">
        <v>242</v>
      </c>
      <c r="F129" s="57" t="s">
        <v>283</v>
      </c>
      <c r="G129" s="58"/>
      <c r="H129" s="34" t="s">
        <v>284</v>
      </c>
      <c r="I129" s="35"/>
    </row>
    <row r="130" ht="23.25" customHeight="1">
      <c r="A130" s="31">
        <v>2.0000003E8</v>
      </c>
      <c r="B130" s="59" t="s">
        <v>285</v>
      </c>
      <c r="C130" s="7" t="s">
        <v>11</v>
      </c>
      <c r="D130" s="32" t="s">
        <v>12</v>
      </c>
      <c r="E130" s="32" t="s">
        <v>242</v>
      </c>
      <c r="F130" s="60" t="s">
        <v>286</v>
      </c>
      <c r="G130" s="49"/>
      <c r="H130" s="34" t="s">
        <v>287</v>
      </c>
      <c r="I130" s="35"/>
    </row>
    <row r="131" ht="23.25" customHeight="1">
      <c r="A131" s="15">
        <v>2.00000029E8</v>
      </c>
      <c r="B131" s="6" t="s">
        <v>288</v>
      </c>
      <c r="C131" s="6" t="s">
        <v>289</v>
      </c>
      <c r="D131" s="8" t="s">
        <v>12</v>
      </c>
      <c r="E131" s="8" t="s">
        <v>242</v>
      </c>
      <c r="F131" s="13" t="s">
        <v>290</v>
      </c>
      <c r="G131" s="46"/>
      <c r="H131" s="11" t="s">
        <v>291</v>
      </c>
      <c r="I131" s="6"/>
    </row>
    <row r="132" ht="23.25" customHeight="1">
      <c r="A132" s="15">
        <v>2.00000067E8</v>
      </c>
      <c r="B132" s="7" t="s">
        <v>292</v>
      </c>
      <c r="C132" s="7" t="s">
        <v>293</v>
      </c>
      <c r="D132" s="12" t="s">
        <v>12</v>
      </c>
      <c r="E132" s="12" t="s">
        <v>242</v>
      </c>
      <c r="F132" s="13"/>
      <c r="G132" s="25"/>
      <c r="H132" s="7" t="s">
        <v>292</v>
      </c>
      <c r="I132" s="7"/>
    </row>
    <row r="133" ht="23.25" customHeight="1">
      <c r="A133" s="15">
        <v>2.00000068E8</v>
      </c>
      <c r="B133" s="7" t="s">
        <v>294</v>
      </c>
      <c r="C133" s="6"/>
      <c r="D133" s="12" t="s">
        <v>12</v>
      </c>
      <c r="E133" s="12" t="s">
        <v>242</v>
      </c>
      <c r="F133" s="13"/>
      <c r="G133" s="25"/>
      <c r="H133" s="7" t="s">
        <v>294</v>
      </c>
      <c r="I133" s="7"/>
    </row>
    <row r="134" ht="23.25" customHeight="1">
      <c r="A134" s="15">
        <v>2.00000069E8</v>
      </c>
      <c r="B134" s="7" t="s">
        <v>295</v>
      </c>
      <c r="C134" s="6"/>
      <c r="D134" s="12" t="s">
        <v>12</v>
      </c>
      <c r="E134" s="12" t="s">
        <v>242</v>
      </c>
      <c r="F134" s="13"/>
      <c r="G134" s="25"/>
      <c r="H134" s="7" t="s">
        <v>295</v>
      </c>
      <c r="I134" s="7"/>
    </row>
    <row r="135" ht="23.25" customHeight="1">
      <c r="A135" s="15">
        <v>2.0000007E8</v>
      </c>
      <c r="B135" s="7" t="s">
        <v>296</v>
      </c>
      <c r="C135" s="6"/>
      <c r="D135" s="12" t="s">
        <v>12</v>
      </c>
      <c r="E135" s="12" t="s">
        <v>242</v>
      </c>
      <c r="F135" s="13"/>
      <c r="G135" s="25"/>
      <c r="H135" s="7" t="s">
        <v>296</v>
      </c>
      <c r="I135" s="7"/>
    </row>
    <row r="136" ht="23.25" customHeight="1">
      <c r="A136" s="15">
        <v>2.00000071E8</v>
      </c>
      <c r="B136" s="7" t="s">
        <v>297</v>
      </c>
      <c r="C136" s="6"/>
      <c r="D136" s="12" t="s">
        <v>12</v>
      </c>
      <c r="E136" s="12" t="s">
        <v>242</v>
      </c>
      <c r="F136" s="13"/>
      <c r="G136" s="25"/>
      <c r="H136" s="7" t="s">
        <v>297</v>
      </c>
      <c r="I136" s="7"/>
    </row>
    <row r="137" ht="23.25" customHeight="1">
      <c r="A137" s="15">
        <v>2.00000072E8</v>
      </c>
      <c r="B137" s="7" t="s">
        <v>298</v>
      </c>
      <c r="C137" s="6"/>
      <c r="D137" s="12" t="s">
        <v>12</v>
      </c>
      <c r="E137" s="12" t="s">
        <v>242</v>
      </c>
      <c r="F137" s="13"/>
      <c r="G137" s="25"/>
      <c r="H137" s="7" t="s">
        <v>298</v>
      </c>
      <c r="I137" s="7"/>
    </row>
    <row r="138" ht="23.25" customHeight="1">
      <c r="A138" s="15">
        <v>2.00000076E8</v>
      </c>
      <c r="B138" s="7" t="s">
        <v>299</v>
      </c>
      <c r="C138" s="6"/>
      <c r="D138" s="12" t="s">
        <v>12</v>
      </c>
      <c r="E138" s="12" t="s">
        <v>242</v>
      </c>
      <c r="F138" s="13"/>
      <c r="G138" s="25"/>
      <c r="H138" s="7" t="s">
        <v>299</v>
      </c>
      <c r="I138" s="7"/>
    </row>
    <row r="139" ht="23.25" customHeight="1">
      <c r="A139" s="61">
        <v>2.00046153E8</v>
      </c>
      <c r="B139" s="23" t="s">
        <v>300</v>
      </c>
      <c r="C139" s="7" t="s">
        <v>301</v>
      </c>
      <c r="D139" s="12" t="s">
        <v>12</v>
      </c>
      <c r="E139" s="12" t="s">
        <v>302</v>
      </c>
      <c r="F139" s="16" t="s">
        <v>301</v>
      </c>
      <c r="G139" s="25"/>
      <c r="H139" s="7" t="s">
        <v>300</v>
      </c>
      <c r="I139" s="7"/>
    </row>
    <row r="140" ht="23.25" customHeight="1">
      <c r="A140" s="61">
        <v>2.00046152E8</v>
      </c>
      <c r="B140" s="23" t="s">
        <v>303</v>
      </c>
      <c r="C140" s="7" t="s">
        <v>241</v>
      </c>
      <c r="D140" s="12" t="s">
        <v>12</v>
      </c>
      <c r="E140" s="12" t="s">
        <v>302</v>
      </c>
      <c r="F140" s="16" t="s">
        <v>241</v>
      </c>
      <c r="G140" s="14" t="s">
        <v>304</v>
      </c>
      <c r="H140" s="7" t="s">
        <v>303</v>
      </c>
      <c r="I140" s="7"/>
    </row>
    <row r="141" ht="23.25" customHeight="1">
      <c r="A141" s="61">
        <v>4.9902013E8</v>
      </c>
      <c r="B141" s="23" t="s">
        <v>305</v>
      </c>
      <c r="C141" s="7" t="s">
        <v>241</v>
      </c>
      <c r="D141" s="12" t="s">
        <v>12</v>
      </c>
      <c r="E141" s="12" t="s">
        <v>302</v>
      </c>
      <c r="F141" s="16" t="s">
        <v>241</v>
      </c>
      <c r="G141" s="14" t="s">
        <v>306</v>
      </c>
      <c r="H141" s="7"/>
      <c r="I141" s="7"/>
    </row>
    <row r="142" ht="23.25" customHeight="1">
      <c r="A142" s="61">
        <v>4.99002089E8</v>
      </c>
      <c r="B142" s="23" t="s">
        <v>307</v>
      </c>
      <c r="C142" s="7" t="s">
        <v>241</v>
      </c>
      <c r="D142" s="12" t="s">
        <v>12</v>
      </c>
      <c r="E142" s="12" t="s">
        <v>302</v>
      </c>
      <c r="F142" s="16" t="s">
        <v>241</v>
      </c>
      <c r="G142" s="14" t="s">
        <v>308</v>
      </c>
      <c r="H142" s="7"/>
      <c r="I142" s="7"/>
    </row>
    <row r="143" ht="23.25" customHeight="1">
      <c r="A143" s="61">
        <v>4.99009237E8</v>
      </c>
      <c r="B143" s="23" t="s">
        <v>309</v>
      </c>
      <c r="C143" s="7" t="s">
        <v>241</v>
      </c>
      <c r="D143" s="12" t="s">
        <v>12</v>
      </c>
      <c r="E143" s="12" t="s">
        <v>302</v>
      </c>
      <c r="F143" s="16" t="s">
        <v>241</v>
      </c>
      <c r="G143" s="14" t="s">
        <v>310</v>
      </c>
      <c r="H143" s="7"/>
      <c r="I143" s="7"/>
    </row>
    <row r="144" ht="23.25" customHeight="1">
      <c r="A144" s="62" t="s">
        <v>311</v>
      </c>
      <c r="B144" s="23" t="s">
        <v>312</v>
      </c>
      <c r="C144" s="7" t="s">
        <v>241</v>
      </c>
      <c r="D144" s="12" t="s">
        <v>12</v>
      </c>
      <c r="E144" s="12" t="s">
        <v>302</v>
      </c>
      <c r="F144" s="16" t="s">
        <v>241</v>
      </c>
      <c r="G144" s="14" t="s">
        <v>304</v>
      </c>
      <c r="H144" s="7"/>
      <c r="I144" s="7"/>
    </row>
    <row r="145" ht="23.25" customHeight="1">
      <c r="A145" s="62" t="s">
        <v>313</v>
      </c>
      <c r="B145" s="23" t="s">
        <v>314</v>
      </c>
      <c r="C145" s="7" t="s">
        <v>241</v>
      </c>
      <c r="D145" s="12" t="s">
        <v>12</v>
      </c>
      <c r="E145" s="12" t="s">
        <v>302</v>
      </c>
      <c r="F145" s="16" t="s">
        <v>241</v>
      </c>
      <c r="G145" s="14" t="s">
        <v>315</v>
      </c>
      <c r="H145" s="7"/>
      <c r="I145" s="7"/>
    </row>
    <row r="146" ht="23.25" customHeight="1">
      <c r="A146" s="62" t="s">
        <v>316</v>
      </c>
      <c r="B146" s="23" t="s">
        <v>317</v>
      </c>
      <c r="C146" s="7" t="s">
        <v>241</v>
      </c>
      <c r="D146" s="12" t="s">
        <v>12</v>
      </c>
      <c r="E146" s="12" t="s">
        <v>302</v>
      </c>
      <c r="F146" s="16" t="s">
        <v>241</v>
      </c>
      <c r="G146" s="14" t="s">
        <v>318</v>
      </c>
      <c r="H146" s="7"/>
      <c r="I146" s="7"/>
    </row>
    <row r="147" ht="23.25" customHeight="1">
      <c r="A147" s="62" t="s">
        <v>319</v>
      </c>
      <c r="B147" s="23" t="s">
        <v>320</v>
      </c>
      <c r="C147" s="7" t="s">
        <v>241</v>
      </c>
      <c r="D147" s="12" t="s">
        <v>12</v>
      </c>
      <c r="E147" s="12" t="s">
        <v>302</v>
      </c>
      <c r="F147" s="16" t="s">
        <v>241</v>
      </c>
      <c r="G147" s="14" t="s">
        <v>318</v>
      </c>
      <c r="H147" s="7"/>
      <c r="I147" s="7"/>
    </row>
    <row r="148" ht="23.25" customHeight="1">
      <c r="A148" s="61">
        <v>4.99106017E8</v>
      </c>
      <c r="B148" s="23" t="s">
        <v>321</v>
      </c>
      <c r="C148" s="7" t="s">
        <v>241</v>
      </c>
      <c r="D148" s="12" t="s">
        <v>12</v>
      </c>
      <c r="E148" s="12" t="s">
        <v>302</v>
      </c>
      <c r="F148" s="16" t="s">
        <v>241</v>
      </c>
      <c r="G148" s="10" t="s">
        <v>20</v>
      </c>
      <c r="H148" s="7"/>
      <c r="I148" s="7"/>
    </row>
    <row r="149" ht="23.25" customHeight="1">
      <c r="A149" s="61">
        <v>4.99106018E8</v>
      </c>
      <c r="B149" s="23" t="s">
        <v>322</v>
      </c>
      <c r="C149" s="7" t="s">
        <v>241</v>
      </c>
      <c r="D149" s="12" t="s">
        <v>12</v>
      </c>
      <c r="E149" s="12" t="s">
        <v>302</v>
      </c>
      <c r="F149" s="16" t="s">
        <v>241</v>
      </c>
      <c r="G149" s="10" t="s">
        <v>323</v>
      </c>
      <c r="H149" s="7"/>
      <c r="I149" s="7"/>
    </row>
    <row r="150" ht="23.25" customHeight="1">
      <c r="A150" s="62" t="s">
        <v>324</v>
      </c>
      <c r="B150" s="23" t="s">
        <v>325</v>
      </c>
      <c r="C150" s="7" t="s">
        <v>241</v>
      </c>
      <c r="D150" s="12" t="s">
        <v>12</v>
      </c>
      <c r="E150" s="12" t="s">
        <v>302</v>
      </c>
      <c r="F150" s="16" t="s">
        <v>241</v>
      </c>
      <c r="G150" s="10" t="s">
        <v>326</v>
      </c>
      <c r="H150" s="7"/>
      <c r="I150" s="7"/>
    </row>
    <row r="151" ht="23.25" customHeight="1">
      <c r="A151" s="62" t="s">
        <v>327</v>
      </c>
      <c r="B151" s="23" t="s">
        <v>328</v>
      </c>
      <c r="C151" s="7" t="s">
        <v>241</v>
      </c>
      <c r="D151" s="12" t="s">
        <v>12</v>
      </c>
      <c r="E151" s="12" t="s">
        <v>302</v>
      </c>
      <c r="F151" s="16" t="s">
        <v>241</v>
      </c>
      <c r="G151" s="10" t="s">
        <v>326</v>
      </c>
      <c r="H151" s="7"/>
      <c r="I151" s="7"/>
    </row>
    <row r="152" ht="23.25" customHeight="1">
      <c r="A152" s="62" t="s">
        <v>329</v>
      </c>
      <c r="B152" s="23" t="s">
        <v>330</v>
      </c>
      <c r="C152" s="7" t="s">
        <v>241</v>
      </c>
      <c r="D152" s="12" t="s">
        <v>12</v>
      </c>
      <c r="E152" s="12" t="s">
        <v>302</v>
      </c>
      <c r="F152" s="16" t="s">
        <v>241</v>
      </c>
      <c r="G152" s="10" t="s">
        <v>331</v>
      </c>
      <c r="H152" s="7"/>
      <c r="I152" s="7"/>
    </row>
    <row r="153" ht="23.25" customHeight="1">
      <c r="A153" s="62" t="s">
        <v>332</v>
      </c>
      <c r="B153" s="23" t="s">
        <v>333</v>
      </c>
      <c r="C153" s="7" t="s">
        <v>241</v>
      </c>
      <c r="D153" s="12" t="s">
        <v>12</v>
      </c>
      <c r="E153" s="12" t="s">
        <v>302</v>
      </c>
      <c r="F153" s="16" t="s">
        <v>241</v>
      </c>
      <c r="G153" s="10" t="s">
        <v>334</v>
      </c>
      <c r="H153" s="7"/>
      <c r="I153" s="7"/>
    </row>
    <row r="154" ht="23.25" customHeight="1">
      <c r="A154" s="61">
        <v>2.00078042E8</v>
      </c>
      <c r="B154" s="23" t="s">
        <v>335</v>
      </c>
      <c r="C154" s="7"/>
      <c r="D154" s="12" t="s">
        <v>336</v>
      </c>
      <c r="E154" s="12" t="s">
        <v>302</v>
      </c>
      <c r="F154" s="16"/>
      <c r="G154" s="10"/>
      <c r="H154" s="7"/>
      <c r="I154" s="7"/>
    </row>
    <row r="155" ht="23.25" customHeight="1">
      <c r="A155" s="61">
        <v>2.00078043E8</v>
      </c>
      <c r="B155" s="23" t="s">
        <v>337</v>
      </c>
      <c r="C155" s="7"/>
      <c r="D155" s="12" t="s">
        <v>336</v>
      </c>
      <c r="E155" s="12" t="s">
        <v>302</v>
      </c>
      <c r="F155" s="16"/>
      <c r="G155" s="10"/>
      <c r="H155" s="7"/>
      <c r="I155" s="7"/>
    </row>
    <row r="156" ht="23.25" customHeight="1">
      <c r="A156" s="5">
        <v>2.00085557E8</v>
      </c>
      <c r="B156" s="6" t="s">
        <v>338</v>
      </c>
      <c r="C156" s="6" t="s">
        <v>339</v>
      </c>
      <c r="D156" s="8" t="s">
        <v>12</v>
      </c>
      <c r="E156" s="8" t="s">
        <v>340</v>
      </c>
      <c r="F156" s="13" t="s">
        <v>341</v>
      </c>
      <c r="G156" s="14" t="s">
        <v>342</v>
      </c>
      <c r="H156" s="11" t="s">
        <v>343</v>
      </c>
      <c r="I156" s="6"/>
    </row>
    <row r="157" ht="23.25" customHeight="1">
      <c r="A157" s="5">
        <v>2.0008555E8</v>
      </c>
      <c r="B157" s="6" t="s">
        <v>344</v>
      </c>
      <c r="C157" s="6" t="s">
        <v>339</v>
      </c>
      <c r="D157" s="8" t="s">
        <v>345</v>
      </c>
      <c r="E157" s="8" t="s">
        <v>340</v>
      </c>
      <c r="F157" s="13" t="s">
        <v>341</v>
      </c>
      <c r="G157" s="14" t="s">
        <v>342</v>
      </c>
      <c r="H157" s="11" t="s">
        <v>346</v>
      </c>
      <c r="I157" s="6"/>
    </row>
    <row r="158" ht="23.25" customHeight="1">
      <c r="A158" s="5">
        <v>2.00085556E8</v>
      </c>
      <c r="B158" s="6" t="s">
        <v>347</v>
      </c>
      <c r="C158" s="6" t="s">
        <v>339</v>
      </c>
      <c r="D158" s="8" t="s">
        <v>12</v>
      </c>
      <c r="E158" s="8" t="s">
        <v>340</v>
      </c>
      <c r="F158" s="13" t="s">
        <v>348</v>
      </c>
      <c r="G158" s="14" t="s">
        <v>342</v>
      </c>
      <c r="H158" s="11" t="s">
        <v>349</v>
      </c>
      <c r="I158" s="6"/>
    </row>
    <row r="159" ht="23.25" customHeight="1">
      <c r="A159" s="5">
        <v>2.00085546E8</v>
      </c>
      <c r="B159" s="7" t="s">
        <v>350</v>
      </c>
      <c r="C159" s="6" t="s">
        <v>339</v>
      </c>
      <c r="D159" s="8" t="s">
        <v>12</v>
      </c>
      <c r="E159" s="12" t="s">
        <v>340</v>
      </c>
      <c r="F159" s="13" t="s">
        <v>341</v>
      </c>
      <c r="G159" s="14" t="s">
        <v>342</v>
      </c>
      <c r="H159" s="11" t="s">
        <v>351</v>
      </c>
      <c r="I159" s="6"/>
    </row>
    <row r="160" ht="23.25" customHeight="1">
      <c r="A160" s="5">
        <v>2.0008557E8</v>
      </c>
      <c r="B160" s="6" t="s">
        <v>352</v>
      </c>
      <c r="C160" s="6" t="s">
        <v>339</v>
      </c>
      <c r="D160" s="8" t="s">
        <v>345</v>
      </c>
      <c r="E160" s="8" t="s">
        <v>340</v>
      </c>
      <c r="F160" s="13" t="s">
        <v>341</v>
      </c>
      <c r="G160" s="14" t="s">
        <v>353</v>
      </c>
      <c r="H160" s="18" t="s">
        <v>354</v>
      </c>
      <c r="I160" s="7"/>
    </row>
    <row r="161" ht="23.25" customHeight="1">
      <c r="A161" s="5">
        <v>2.00085567E8</v>
      </c>
      <c r="B161" s="6" t="s">
        <v>355</v>
      </c>
      <c r="C161" s="6" t="s">
        <v>339</v>
      </c>
      <c r="D161" s="8" t="s">
        <v>12</v>
      </c>
      <c r="E161" s="8" t="s">
        <v>340</v>
      </c>
      <c r="F161" s="13" t="s">
        <v>341</v>
      </c>
      <c r="G161" s="14" t="s">
        <v>353</v>
      </c>
      <c r="H161" s="11" t="s">
        <v>356</v>
      </c>
      <c r="I161" s="6"/>
    </row>
    <row r="162" ht="23.25" customHeight="1">
      <c r="A162" s="5">
        <v>2.00085555E8</v>
      </c>
      <c r="B162" s="6" t="s">
        <v>357</v>
      </c>
      <c r="C162" s="6" t="s">
        <v>339</v>
      </c>
      <c r="D162" s="8" t="s">
        <v>345</v>
      </c>
      <c r="E162" s="8" t="s">
        <v>340</v>
      </c>
      <c r="F162" s="13" t="s">
        <v>341</v>
      </c>
      <c r="G162" s="14" t="s">
        <v>353</v>
      </c>
      <c r="H162" s="11" t="s">
        <v>358</v>
      </c>
      <c r="I162" s="6"/>
    </row>
    <row r="163" ht="23.25" customHeight="1">
      <c r="A163" s="5">
        <v>2.00085843E8</v>
      </c>
      <c r="B163" s="6" t="s">
        <v>359</v>
      </c>
      <c r="C163" s="6" t="s">
        <v>339</v>
      </c>
      <c r="D163" s="8" t="s">
        <v>12</v>
      </c>
      <c r="E163" s="12" t="s">
        <v>340</v>
      </c>
      <c r="F163" s="13" t="s">
        <v>341</v>
      </c>
      <c r="G163" s="14" t="s">
        <v>360</v>
      </c>
      <c r="H163" s="63" t="s">
        <v>361</v>
      </c>
      <c r="I163" s="64"/>
    </row>
    <row r="164" ht="23.25" customHeight="1">
      <c r="A164" s="5">
        <v>2.0008588E8</v>
      </c>
      <c r="B164" s="6" t="s">
        <v>362</v>
      </c>
      <c r="C164" s="6" t="s">
        <v>339</v>
      </c>
      <c r="D164" s="8" t="s">
        <v>12</v>
      </c>
      <c r="E164" s="8" t="s">
        <v>340</v>
      </c>
      <c r="F164" s="13" t="s">
        <v>348</v>
      </c>
      <c r="G164" s="14" t="s">
        <v>360</v>
      </c>
      <c r="H164" s="11" t="s">
        <v>363</v>
      </c>
      <c r="I164" s="6"/>
    </row>
    <row r="165" ht="23.25" customHeight="1">
      <c r="A165" s="5">
        <v>2.00085846E8</v>
      </c>
      <c r="B165" s="7" t="s">
        <v>364</v>
      </c>
      <c r="C165" s="6" t="s">
        <v>339</v>
      </c>
      <c r="D165" s="8" t="s">
        <v>12</v>
      </c>
      <c r="E165" s="8" t="s">
        <v>340</v>
      </c>
      <c r="F165" s="13" t="s">
        <v>341</v>
      </c>
      <c r="G165" s="14" t="s">
        <v>365</v>
      </c>
      <c r="H165" s="11" t="s">
        <v>366</v>
      </c>
      <c r="I165" s="6"/>
    </row>
    <row r="166" ht="23.25" customHeight="1">
      <c r="A166" s="5">
        <v>2.00085845E8</v>
      </c>
      <c r="B166" s="7" t="s">
        <v>367</v>
      </c>
      <c r="C166" s="6" t="s">
        <v>339</v>
      </c>
      <c r="D166" s="8" t="s">
        <v>12</v>
      </c>
      <c r="E166" s="8" t="s">
        <v>340</v>
      </c>
      <c r="F166" s="13" t="s">
        <v>368</v>
      </c>
      <c r="G166" s="14" t="s">
        <v>365</v>
      </c>
      <c r="H166" s="11" t="s">
        <v>369</v>
      </c>
      <c r="I166" s="6"/>
    </row>
    <row r="167" ht="23.25" customHeight="1">
      <c r="A167" s="5">
        <v>2.00085838E8</v>
      </c>
      <c r="B167" s="6" t="s">
        <v>370</v>
      </c>
      <c r="C167" s="6" t="s">
        <v>339</v>
      </c>
      <c r="D167" s="8" t="s">
        <v>345</v>
      </c>
      <c r="E167" s="8" t="s">
        <v>340</v>
      </c>
      <c r="F167" s="13" t="s">
        <v>341</v>
      </c>
      <c r="G167" s="14" t="s">
        <v>371</v>
      </c>
      <c r="H167" s="63" t="s">
        <v>372</v>
      </c>
      <c r="I167" s="64"/>
    </row>
    <row r="168" ht="23.25" customHeight="1">
      <c r="A168" s="15">
        <v>2.00000096E8</v>
      </c>
      <c r="B168" s="7" t="s">
        <v>373</v>
      </c>
      <c r="C168" s="7" t="s">
        <v>374</v>
      </c>
      <c r="D168" s="12" t="s">
        <v>12</v>
      </c>
      <c r="E168" s="12" t="s">
        <v>340</v>
      </c>
      <c r="F168" s="65" t="s">
        <v>348</v>
      </c>
      <c r="G168" s="10" t="s">
        <v>375</v>
      </c>
      <c r="H168" s="18"/>
      <c r="I168" s="7"/>
    </row>
    <row r="169" ht="23.25" customHeight="1">
      <c r="A169" s="15">
        <v>2.00000095E8</v>
      </c>
      <c r="B169" s="7" t="s">
        <v>376</v>
      </c>
      <c r="C169" s="7" t="s">
        <v>374</v>
      </c>
      <c r="D169" s="12" t="s">
        <v>12</v>
      </c>
      <c r="E169" s="12" t="s">
        <v>340</v>
      </c>
      <c r="F169" s="65" t="s">
        <v>348</v>
      </c>
      <c r="G169" s="10" t="s">
        <v>377</v>
      </c>
      <c r="H169" s="18"/>
      <c r="I169" s="7"/>
    </row>
    <row r="170" ht="23.25" customHeight="1">
      <c r="A170" s="15">
        <v>2.00000094E8</v>
      </c>
      <c r="B170" s="7" t="s">
        <v>378</v>
      </c>
      <c r="C170" s="7" t="s">
        <v>374</v>
      </c>
      <c r="D170" s="12" t="s">
        <v>12</v>
      </c>
      <c r="E170" s="12" t="s">
        <v>340</v>
      </c>
      <c r="F170" s="65" t="s">
        <v>348</v>
      </c>
      <c r="G170" s="10" t="s">
        <v>377</v>
      </c>
      <c r="H170" s="18"/>
      <c r="I170" s="7"/>
    </row>
    <row r="171" ht="23.25" customHeight="1">
      <c r="A171" s="15">
        <v>2.00000093E8</v>
      </c>
      <c r="B171" s="7" t="s">
        <v>379</v>
      </c>
      <c r="C171" s="7" t="s">
        <v>374</v>
      </c>
      <c r="D171" s="12" t="s">
        <v>12</v>
      </c>
      <c r="E171" s="12" t="s">
        <v>340</v>
      </c>
      <c r="F171" s="65" t="s">
        <v>348</v>
      </c>
      <c r="G171" s="10" t="s">
        <v>377</v>
      </c>
      <c r="H171" s="18"/>
      <c r="I171" s="7"/>
    </row>
    <row r="172" ht="23.25" customHeight="1">
      <c r="A172" s="15">
        <v>2.00000092E8</v>
      </c>
      <c r="B172" s="7" t="s">
        <v>380</v>
      </c>
      <c r="C172" s="7" t="s">
        <v>374</v>
      </c>
      <c r="D172" s="12" t="s">
        <v>12</v>
      </c>
      <c r="E172" s="12" t="s">
        <v>340</v>
      </c>
      <c r="F172" s="65" t="s">
        <v>348</v>
      </c>
      <c r="G172" s="10" t="s">
        <v>375</v>
      </c>
      <c r="H172" s="18"/>
      <c r="I172" s="7"/>
    </row>
    <row r="173" ht="23.25" customHeight="1">
      <c r="A173" s="15">
        <v>2.00000091E8</v>
      </c>
      <c r="B173" s="7" t="s">
        <v>381</v>
      </c>
      <c r="C173" s="7" t="s">
        <v>374</v>
      </c>
      <c r="D173" s="12" t="s">
        <v>12</v>
      </c>
      <c r="E173" s="12" t="s">
        <v>340</v>
      </c>
      <c r="F173" s="65" t="s">
        <v>348</v>
      </c>
      <c r="G173" s="10" t="s">
        <v>382</v>
      </c>
      <c r="H173" s="18"/>
      <c r="I173" s="7"/>
    </row>
    <row r="174" ht="23.25" customHeight="1">
      <c r="A174" s="15">
        <v>2.0000009E8</v>
      </c>
      <c r="B174" s="7" t="s">
        <v>383</v>
      </c>
      <c r="C174" s="7" t="s">
        <v>374</v>
      </c>
      <c r="D174" s="12" t="s">
        <v>12</v>
      </c>
      <c r="E174" s="12" t="s">
        <v>340</v>
      </c>
      <c r="F174" s="65" t="s">
        <v>348</v>
      </c>
      <c r="G174" s="10" t="s">
        <v>179</v>
      </c>
      <c r="H174" s="18"/>
      <c r="I174" s="7"/>
    </row>
    <row r="175" ht="23.25" customHeight="1">
      <c r="A175" s="15">
        <v>2.00000089E8</v>
      </c>
      <c r="B175" s="7" t="s">
        <v>384</v>
      </c>
      <c r="C175" s="7" t="s">
        <v>374</v>
      </c>
      <c r="D175" s="12" t="s">
        <v>12</v>
      </c>
      <c r="E175" s="12" t="s">
        <v>340</v>
      </c>
      <c r="F175" s="65" t="s">
        <v>348</v>
      </c>
      <c r="G175" s="10" t="s">
        <v>382</v>
      </c>
      <c r="H175" s="18"/>
      <c r="I175" s="7"/>
    </row>
    <row r="176" ht="23.25" customHeight="1">
      <c r="A176" s="15">
        <v>2.00000086E8</v>
      </c>
      <c r="B176" s="7" t="s">
        <v>385</v>
      </c>
      <c r="C176" s="7" t="s">
        <v>374</v>
      </c>
      <c r="D176" s="12" t="s">
        <v>12</v>
      </c>
      <c r="E176" s="12" t="s">
        <v>340</v>
      </c>
      <c r="F176" s="65" t="s">
        <v>348</v>
      </c>
      <c r="G176" s="10" t="s">
        <v>382</v>
      </c>
      <c r="H176" s="18"/>
      <c r="I176" s="7"/>
    </row>
    <row r="177" ht="23.25" customHeight="1">
      <c r="A177" s="15">
        <v>2.00000087E8</v>
      </c>
      <c r="B177" s="7" t="s">
        <v>386</v>
      </c>
      <c r="C177" s="7" t="s">
        <v>374</v>
      </c>
      <c r="D177" s="12" t="s">
        <v>12</v>
      </c>
      <c r="E177" s="12" t="s">
        <v>340</v>
      </c>
      <c r="F177" s="65" t="s">
        <v>348</v>
      </c>
      <c r="G177" s="10" t="s">
        <v>387</v>
      </c>
      <c r="H177" s="18"/>
      <c r="I177" s="7"/>
    </row>
    <row r="178" ht="23.25" customHeight="1">
      <c r="A178" s="15">
        <v>2.00000088E8</v>
      </c>
      <c r="B178" s="7" t="s">
        <v>388</v>
      </c>
      <c r="C178" s="7" t="s">
        <v>374</v>
      </c>
      <c r="D178" s="12" t="s">
        <v>12</v>
      </c>
      <c r="E178" s="12" t="s">
        <v>340</v>
      </c>
      <c r="F178" s="65" t="s">
        <v>348</v>
      </c>
      <c r="G178" s="10" t="s">
        <v>387</v>
      </c>
      <c r="H178" s="18"/>
      <c r="I178" s="7"/>
    </row>
    <row r="179" ht="23.25" customHeight="1">
      <c r="A179" s="15">
        <v>2.00000085E8</v>
      </c>
      <c r="B179" s="7" t="s">
        <v>389</v>
      </c>
      <c r="C179" s="7" t="s">
        <v>374</v>
      </c>
      <c r="D179" s="12" t="s">
        <v>12</v>
      </c>
      <c r="E179" s="12" t="s">
        <v>340</v>
      </c>
      <c r="F179" s="65" t="s">
        <v>348</v>
      </c>
      <c r="G179" s="10" t="s">
        <v>387</v>
      </c>
      <c r="H179" s="18"/>
      <c r="I179" s="7"/>
    </row>
    <row r="180" ht="23.25" customHeight="1">
      <c r="A180" s="15">
        <v>2.00000084E8</v>
      </c>
      <c r="B180" s="7" t="s">
        <v>390</v>
      </c>
      <c r="C180" s="7" t="s">
        <v>374</v>
      </c>
      <c r="D180" s="12" t="s">
        <v>12</v>
      </c>
      <c r="E180" s="12" t="s">
        <v>340</v>
      </c>
      <c r="F180" s="65" t="s">
        <v>348</v>
      </c>
      <c r="G180" s="10" t="s">
        <v>387</v>
      </c>
      <c r="H180" s="18"/>
      <c r="I180" s="7"/>
    </row>
    <row r="181" ht="23.25" customHeight="1">
      <c r="A181" s="15">
        <v>2.00000083E8</v>
      </c>
      <c r="B181" s="7" t="s">
        <v>391</v>
      </c>
      <c r="C181" s="7" t="s">
        <v>374</v>
      </c>
      <c r="D181" s="12" t="s">
        <v>12</v>
      </c>
      <c r="E181" s="12" t="s">
        <v>340</v>
      </c>
      <c r="F181" s="65" t="s">
        <v>348</v>
      </c>
      <c r="G181" s="10" t="s">
        <v>392</v>
      </c>
      <c r="H181" s="18"/>
      <c r="I181" s="7"/>
    </row>
    <row r="182" ht="23.25" customHeight="1">
      <c r="A182" s="15">
        <v>2.00000082E8</v>
      </c>
      <c r="B182" s="7" t="s">
        <v>393</v>
      </c>
      <c r="C182" s="7" t="s">
        <v>374</v>
      </c>
      <c r="D182" s="12" t="s">
        <v>12</v>
      </c>
      <c r="E182" s="12" t="s">
        <v>340</v>
      </c>
      <c r="F182" s="65" t="s">
        <v>348</v>
      </c>
      <c r="G182" s="14" t="s">
        <v>318</v>
      </c>
      <c r="H182" s="18" t="s">
        <v>394</v>
      </c>
      <c r="I182" s="7"/>
    </row>
    <row r="183" ht="23.25" customHeight="1">
      <c r="A183" s="15">
        <v>2.00000081E8</v>
      </c>
      <c r="B183" s="7" t="s">
        <v>395</v>
      </c>
      <c r="C183" s="7" t="s">
        <v>374</v>
      </c>
      <c r="D183" s="12" t="s">
        <v>64</v>
      </c>
      <c r="E183" s="12" t="s">
        <v>340</v>
      </c>
      <c r="F183" s="16" t="s">
        <v>396</v>
      </c>
      <c r="G183" s="14" t="s">
        <v>392</v>
      </c>
      <c r="H183" s="18" t="s">
        <v>395</v>
      </c>
      <c r="I183" s="7"/>
    </row>
    <row r="184" ht="23.25" customHeight="1">
      <c r="A184" s="15">
        <v>2.0000008E8</v>
      </c>
      <c r="B184" s="7" t="s">
        <v>397</v>
      </c>
      <c r="C184" s="7" t="s">
        <v>374</v>
      </c>
      <c r="D184" s="12" t="s">
        <v>64</v>
      </c>
      <c r="E184" s="12" t="s">
        <v>340</v>
      </c>
      <c r="F184" s="16" t="s">
        <v>396</v>
      </c>
      <c r="G184" s="14" t="s">
        <v>392</v>
      </c>
      <c r="H184" s="18" t="s">
        <v>397</v>
      </c>
      <c r="I184" s="7"/>
    </row>
    <row r="185" ht="23.25" customHeight="1">
      <c r="A185" s="15">
        <v>2.0000004E8</v>
      </c>
      <c r="B185" s="7" t="s">
        <v>398</v>
      </c>
      <c r="C185" s="6"/>
      <c r="D185" s="12" t="s">
        <v>64</v>
      </c>
      <c r="E185" s="12" t="s">
        <v>340</v>
      </c>
      <c r="F185" s="16" t="s">
        <v>399</v>
      </c>
      <c r="G185" s="14" t="s">
        <v>400</v>
      </c>
      <c r="H185" s="18" t="s">
        <v>398</v>
      </c>
      <c r="I185" s="7"/>
    </row>
    <row r="186" ht="23.25" customHeight="1">
      <c r="A186" s="15">
        <v>2.00000066E8</v>
      </c>
      <c r="B186" s="7" t="s">
        <v>401</v>
      </c>
      <c r="C186" s="6"/>
      <c r="D186" s="12" t="s">
        <v>64</v>
      </c>
      <c r="E186" s="12" t="s">
        <v>340</v>
      </c>
      <c r="F186" s="16" t="s">
        <v>402</v>
      </c>
      <c r="G186" s="14" t="s">
        <v>400</v>
      </c>
      <c r="H186" s="18" t="s">
        <v>401</v>
      </c>
      <c r="I186" s="7"/>
    </row>
    <row r="187" ht="23.25" customHeight="1">
      <c r="A187" s="15">
        <v>2.00000041E8</v>
      </c>
      <c r="B187" s="7" t="s">
        <v>403</v>
      </c>
      <c r="C187" s="6"/>
      <c r="D187" s="12" t="s">
        <v>64</v>
      </c>
      <c r="E187" s="12" t="s">
        <v>340</v>
      </c>
      <c r="F187" s="16"/>
      <c r="G187" s="17" t="s">
        <v>28</v>
      </c>
      <c r="H187" s="18" t="s">
        <v>403</v>
      </c>
      <c r="I187" s="7"/>
    </row>
    <row r="188" ht="23.25" customHeight="1">
      <c r="A188" s="15">
        <v>2.00000065E8</v>
      </c>
      <c r="B188" s="7" t="s">
        <v>404</v>
      </c>
      <c r="C188" s="6"/>
      <c r="D188" s="12" t="s">
        <v>64</v>
      </c>
      <c r="E188" s="12" t="s">
        <v>340</v>
      </c>
      <c r="F188" s="16" t="s">
        <v>402</v>
      </c>
      <c r="G188" s="14" t="s">
        <v>405</v>
      </c>
      <c r="H188" s="18" t="s">
        <v>404</v>
      </c>
      <c r="I188" s="7"/>
    </row>
    <row r="189" ht="23.25" customHeight="1">
      <c r="A189" s="15">
        <v>2.00000042E8</v>
      </c>
      <c r="B189" s="7" t="s">
        <v>406</v>
      </c>
      <c r="C189" s="6"/>
      <c r="D189" s="12" t="s">
        <v>257</v>
      </c>
      <c r="E189" s="12" t="s">
        <v>340</v>
      </c>
      <c r="F189" s="13"/>
      <c r="G189" s="37"/>
      <c r="H189" s="18" t="s">
        <v>407</v>
      </c>
      <c r="I189" s="7"/>
    </row>
    <row r="190" ht="23.25" customHeight="1">
      <c r="A190" s="15">
        <v>2.00000043E8</v>
      </c>
      <c r="B190" s="7" t="s">
        <v>408</v>
      </c>
      <c r="C190" s="6"/>
      <c r="D190" s="12" t="s">
        <v>257</v>
      </c>
      <c r="E190" s="12" t="s">
        <v>340</v>
      </c>
      <c r="F190" s="13"/>
      <c r="G190" s="37"/>
      <c r="H190" s="18" t="s">
        <v>407</v>
      </c>
      <c r="I190" s="7"/>
    </row>
    <row r="191" ht="23.25" customHeight="1">
      <c r="A191" s="15">
        <v>2.00000044E8</v>
      </c>
      <c r="B191" s="7" t="s">
        <v>409</v>
      </c>
      <c r="C191" s="6"/>
      <c r="D191" s="12" t="s">
        <v>257</v>
      </c>
      <c r="E191" s="12" t="s">
        <v>340</v>
      </c>
      <c r="F191" s="13"/>
      <c r="G191" s="37"/>
      <c r="H191" s="18" t="s">
        <v>410</v>
      </c>
      <c r="I191" s="7"/>
    </row>
    <row r="192" ht="23.25" customHeight="1">
      <c r="A192" s="5">
        <v>2.00085852E8</v>
      </c>
      <c r="B192" s="6" t="s">
        <v>411</v>
      </c>
      <c r="C192" s="6" t="s">
        <v>339</v>
      </c>
      <c r="D192" s="8" t="s">
        <v>12</v>
      </c>
      <c r="E192" s="8" t="s">
        <v>340</v>
      </c>
      <c r="F192" s="13" t="s">
        <v>348</v>
      </c>
      <c r="G192" s="14" t="s">
        <v>371</v>
      </c>
      <c r="H192" s="11" t="s">
        <v>412</v>
      </c>
      <c r="I192" s="6"/>
    </row>
    <row r="193" ht="23.25" customHeight="1">
      <c r="A193" s="5">
        <v>2.00085538E8</v>
      </c>
      <c r="B193" s="6" t="s">
        <v>413</v>
      </c>
      <c r="C193" s="6" t="s">
        <v>339</v>
      </c>
      <c r="D193" s="8" t="s">
        <v>12</v>
      </c>
      <c r="E193" s="8" t="s">
        <v>340</v>
      </c>
      <c r="F193" s="13" t="s">
        <v>341</v>
      </c>
      <c r="G193" s="14" t="s">
        <v>353</v>
      </c>
      <c r="H193" s="11" t="s">
        <v>414</v>
      </c>
      <c r="I193" s="6"/>
    </row>
    <row r="194" ht="23.25" customHeight="1">
      <c r="A194" s="5">
        <v>2.00085539E8</v>
      </c>
      <c r="B194" s="6" t="s">
        <v>415</v>
      </c>
      <c r="C194" s="6" t="s">
        <v>339</v>
      </c>
      <c r="D194" s="8" t="s">
        <v>12</v>
      </c>
      <c r="E194" s="8" t="s">
        <v>340</v>
      </c>
      <c r="F194" s="13" t="s">
        <v>341</v>
      </c>
      <c r="G194" s="14" t="s">
        <v>353</v>
      </c>
      <c r="H194" s="11" t="s">
        <v>416</v>
      </c>
      <c r="I194" s="6"/>
    </row>
    <row r="195" ht="23.25" customHeight="1">
      <c r="A195" s="5" t="s">
        <v>417</v>
      </c>
      <c r="B195" s="6" t="s">
        <v>418</v>
      </c>
      <c r="C195" s="6" t="s">
        <v>339</v>
      </c>
      <c r="D195" s="8" t="s">
        <v>12</v>
      </c>
      <c r="E195" s="8" t="s">
        <v>340</v>
      </c>
      <c r="F195" s="13" t="s">
        <v>341</v>
      </c>
      <c r="G195" s="14" t="s">
        <v>342</v>
      </c>
      <c r="H195" s="11" t="s">
        <v>419</v>
      </c>
      <c r="I195" s="6"/>
    </row>
    <row r="196" ht="23.25" customHeight="1">
      <c r="A196" s="5" t="s">
        <v>420</v>
      </c>
      <c r="B196" s="6" t="s">
        <v>421</v>
      </c>
      <c r="C196" s="6" t="s">
        <v>339</v>
      </c>
      <c r="D196" s="8" t="s">
        <v>12</v>
      </c>
      <c r="E196" s="8" t="s">
        <v>340</v>
      </c>
      <c r="F196" s="13" t="s">
        <v>341</v>
      </c>
      <c r="G196" s="14" t="s">
        <v>360</v>
      </c>
      <c r="H196" s="11" t="s">
        <v>419</v>
      </c>
      <c r="I196" s="6"/>
    </row>
    <row r="197" ht="23.25" customHeight="1">
      <c r="A197" s="5" t="s">
        <v>422</v>
      </c>
      <c r="B197" s="6" t="s">
        <v>423</v>
      </c>
      <c r="C197" s="6" t="s">
        <v>339</v>
      </c>
      <c r="D197" s="8" t="s">
        <v>12</v>
      </c>
      <c r="E197" s="8" t="s">
        <v>340</v>
      </c>
      <c r="F197" s="13" t="s">
        <v>341</v>
      </c>
      <c r="G197" s="14" t="s">
        <v>360</v>
      </c>
      <c r="H197" s="11" t="s">
        <v>419</v>
      </c>
      <c r="I197" s="6"/>
    </row>
    <row r="198" ht="23.25" customHeight="1">
      <c r="A198" s="5" t="s">
        <v>424</v>
      </c>
      <c r="B198" s="6" t="s">
        <v>425</v>
      </c>
      <c r="C198" s="6" t="s">
        <v>339</v>
      </c>
      <c r="D198" s="8" t="s">
        <v>12</v>
      </c>
      <c r="E198" s="8" t="s">
        <v>340</v>
      </c>
      <c r="F198" s="13" t="s">
        <v>341</v>
      </c>
      <c r="G198" s="14" t="s">
        <v>342</v>
      </c>
      <c r="H198" s="11" t="s">
        <v>419</v>
      </c>
      <c r="I198" s="6"/>
    </row>
    <row r="199" ht="23.25" customHeight="1">
      <c r="A199" s="5">
        <v>2.00085841E8</v>
      </c>
      <c r="B199" s="6" t="s">
        <v>426</v>
      </c>
      <c r="C199" s="6" t="s">
        <v>339</v>
      </c>
      <c r="D199" s="8" t="s">
        <v>12</v>
      </c>
      <c r="E199" s="8" t="s">
        <v>340</v>
      </c>
      <c r="F199" s="13" t="s">
        <v>341</v>
      </c>
      <c r="G199" s="14" t="s">
        <v>371</v>
      </c>
      <c r="H199" s="63" t="s">
        <v>427</v>
      </c>
      <c r="I199" s="64"/>
    </row>
    <row r="200" ht="23.25" customHeight="1">
      <c r="A200" s="5">
        <v>2.0008584E8</v>
      </c>
      <c r="B200" s="6" t="s">
        <v>428</v>
      </c>
      <c r="C200" s="6" t="s">
        <v>339</v>
      </c>
      <c r="D200" s="8" t="s">
        <v>429</v>
      </c>
      <c r="E200" s="8" t="s">
        <v>340</v>
      </c>
      <c r="F200" s="13" t="s">
        <v>341</v>
      </c>
      <c r="G200" s="14" t="s">
        <v>365</v>
      </c>
      <c r="H200" s="63" t="s">
        <v>430</v>
      </c>
      <c r="I200" s="64"/>
    </row>
    <row r="201" ht="23.25" customHeight="1">
      <c r="A201" s="15">
        <v>2.00085881E8</v>
      </c>
      <c r="B201" s="7" t="s">
        <v>431</v>
      </c>
      <c r="C201" s="6" t="s">
        <v>339</v>
      </c>
      <c r="D201" s="12" t="s">
        <v>51</v>
      </c>
      <c r="E201" s="12" t="s">
        <v>340</v>
      </c>
      <c r="F201" s="13" t="s">
        <v>341</v>
      </c>
      <c r="G201" s="14" t="s">
        <v>400</v>
      </c>
      <c r="H201" s="66" t="s">
        <v>432</v>
      </c>
      <c r="I201" s="67"/>
    </row>
    <row r="202" ht="23.25" customHeight="1">
      <c r="A202" s="15" t="s">
        <v>433</v>
      </c>
      <c r="B202" s="7" t="s">
        <v>434</v>
      </c>
      <c r="C202" s="6" t="s">
        <v>339</v>
      </c>
      <c r="D202" s="8" t="s">
        <v>12</v>
      </c>
      <c r="E202" s="8" t="s">
        <v>340</v>
      </c>
      <c r="F202" s="13" t="s">
        <v>341</v>
      </c>
      <c r="G202" s="14" t="s">
        <v>435</v>
      </c>
      <c r="H202" s="11" t="s">
        <v>436</v>
      </c>
      <c r="I202" s="6"/>
    </row>
    <row r="203" ht="23.25" customHeight="1">
      <c r="A203" s="5" t="s">
        <v>437</v>
      </c>
      <c r="B203" s="7" t="s">
        <v>438</v>
      </c>
      <c r="C203" s="6" t="s">
        <v>339</v>
      </c>
      <c r="D203" s="8" t="s">
        <v>12</v>
      </c>
      <c r="E203" s="8" t="s">
        <v>340</v>
      </c>
      <c r="F203" s="13" t="s">
        <v>341</v>
      </c>
      <c r="G203" s="14" t="s">
        <v>435</v>
      </c>
      <c r="H203" s="11" t="s">
        <v>436</v>
      </c>
      <c r="I203" s="6"/>
    </row>
    <row r="204" ht="23.25" customHeight="1">
      <c r="A204" s="5" t="s">
        <v>439</v>
      </c>
      <c r="B204" s="7" t="s">
        <v>440</v>
      </c>
      <c r="C204" s="6" t="s">
        <v>339</v>
      </c>
      <c r="D204" s="8" t="s">
        <v>12</v>
      </c>
      <c r="E204" s="8" t="s">
        <v>340</v>
      </c>
      <c r="F204" s="13" t="s">
        <v>341</v>
      </c>
      <c r="G204" s="14" t="s">
        <v>435</v>
      </c>
      <c r="H204" s="11" t="s">
        <v>436</v>
      </c>
      <c r="I204" s="6"/>
    </row>
    <row r="205" ht="23.25" customHeight="1">
      <c r="A205" s="68" t="s">
        <v>441</v>
      </c>
      <c r="B205" s="7" t="s">
        <v>442</v>
      </c>
      <c r="C205" s="6" t="s">
        <v>339</v>
      </c>
      <c r="D205" s="12" t="s">
        <v>12</v>
      </c>
      <c r="E205" s="12" t="s">
        <v>340</v>
      </c>
      <c r="F205" s="13"/>
      <c r="G205" s="14" t="s">
        <v>435</v>
      </c>
      <c r="H205" s="18" t="s">
        <v>443</v>
      </c>
      <c r="I205" s="7"/>
    </row>
    <row r="206" ht="23.25" customHeight="1">
      <c r="A206" s="15">
        <v>2.00000045E8</v>
      </c>
      <c r="B206" s="7" t="s">
        <v>444</v>
      </c>
      <c r="C206" s="6"/>
      <c r="D206" s="12" t="s">
        <v>12</v>
      </c>
      <c r="E206" s="12" t="s">
        <v>340</v>
      </c>
      <c r="F206" s="16" t="s">
        <v>445</v>
      </c>
      <c r="G206" s="14" t="s">
        <v>405</v>
      </c>
      <c r="H206" s="18"/>
      <c r="I206" s="7"/>
    </row>
    <row r="207" ht="23.25" customHeight="1">
      <c r="A207" s="15">
        <v>2.00000046E8</v>
      </c>
      <c r="B207" s="7" t="s">
        <v>446</v>
      </c>
      <c r="C207" s="6"/>
      <c r="D207" s="12" t="s">
        <v>12</v>
      </c>
      <c r="E207" s="12" t="s">
        <v>340</v>
      </c>
      <c r="F207" s="16" t="s">
        <v>445</v>
      </c>
      <c r="G207" s="14" t="s">
        <v>400</v>
      </c>
      <c r="H207" s="18"/>
      <c r="I207" s="7"/>
    </row>
    <row r="208" ht="23.25" customHeight="1">
      <c r="A208" s="5">
        <v>2.00085855E8</v>
      </c>
      <c r="B208" s="6" t="s">
        <v>447</v>
      </c>
      <c r="C208" s="6" t="s">
        <v>339</v>
      </c>
      <c r="D208" s="8" t="s">
        <v>345</v>
      </c>
      <c r="E208" s="8" t="s">
        <v>340</v>
      </c>
      <c r="F208" s="13" t="s">
        <v>348</v>
      </c>
      <c r="G208" s="14" t="s">
        <v>371</v>
      </c>
      <c r="H208" s="11" t="s">
        <v>448</v>
      </c>
      <c r="I208" s="6"/>
    </row>
    <row r="209" ht="23.25" customHeight="1">
      <c r="A209" s="5">
        <v>2.00085859E8</v>
      </c>
      <c r="B209" s="6" t="s">
        <v>449</v>
      </c>
      <c r="C209" s="6" t="s">
        <v>339</v>
      </c>
      <c r="D209" s="8" t="s">
        <v>12</v>
      </c>
      <c r="E209" s="8" t="s">
        <v>340</v>
      </c>
      <c r="F209" s="13" t="s">
        <v>341</v>
      </c>
      <c r="G209" s="46"/>
      <c r="H209" s="11" t="s">
        <v>450</v>
      </c>
      <c r="I209" s="6"/>
    </row>
    <row r="210" ht="23.25" customHeight="1">
      <c r="A210" s="5">
        <v>2.00085861E8</v>
      </c>
      <c r="B210" s="6" t="s">
        <v>451</v>
      </c>
      <c r="C210" s="6" t="s">
        <v>339</v>
      </c>
      <c r="D210" s="8" t="s">
        <v>12</v>
      </c>
      <c r="E210" s="8" t="s">
        <v>340</v>
      </c>
      <c r="F210" s="13" t="s">
        <v>341</v>
      </c>
      <c r="G210" s="46"/>
      <c r="H210" s="11" t="s">
        <v>452</v>
      </c>
      <c r="I210" s="6"/>
    </row>
    <row r="211" ht="23.25" customHeight="1">
      <c r="A211" s="5">
        <v>2.00085856E8</v>
      </c>
      <c r="B211" s="6" t="s">
        <v>453</v>
      </c>
      <c r="C211" s="6" t="s">
        <v>339</v>
      </c>
      <c r="D211" s="8" t="s">
        <v>12</v>
      </c>
      <c r="E211" s="8" t="s">
        <v>340</v>
      </c>
      <c r="F211" s="13" t="s">
        <v>341</v>
      </c>
      <c r="G211" s="46"/>
      <c r="H211" s="11" t="s">
        <v>454</v>
      </c>
      <c r="I211" s="6"/>
    </row>
    <row r="212" ht="23.25" customHeight="1">
      <c r="A212" s="5">
        <v>2.00085858E8</v>
      </c>
      <c r="B212" s="6" t="s">
        <v>455</v>
      </c>
      <c r="C212" s="6" t="s">
        <v>339</v>
      </c>
      <c r="D212" s="8" t="s">
        <v>12</v>
      </c>
      <c r="E212" s="8" t="s">
        <v>340</v>
      </c>
      <c r="F212" s="13" t="s">
        <v>341</v>
      </c>
      <c r="G212" s="46"/>
      <c r="H212" s="11" t="s">
        <v>456</v>
      </c>
      <c r="I212" s="6"/>
    </row>
    <row r="213" ht="23.25" customHeight="1">
      <c r="A213" s="15">
        <v>2.00085594E8</v>
      </c>
      <c r="B213" s="7" t="s">
        <v>457</v>
      </c>
      <c r="C213" s="6" t="s">
        <v>339</v>
      </c>
      <c r="D213" s="12" t="s">
        <v>257</v>
      </c>
      <c r="E213" s="12" t="s">
        <v>340</v>
      </c>
      <c r="F213" s="13" t="s">
        <v>341</v>
      </c>
      <c r="G213" s="37"/>
      <c r="H213" s="18" t="s">
        <v>457</v>
      </c>
      <c r="I213" s="7"/>
    </row>
    <row r="214" ht="23.25" customHeight="1">
      <c r="A214" s="5">
        <v>2.00085863E8</v>
      </c>
      <c r="B214" s="6" t="s">
        <v>458</v>
      </c>
      <c r="C214" s="6" t="s">
        <v>339</v>
      </c>
      <c r="D214" s="8" t="s">
        <v>12</v>
      </c>
      <c r="E214" s="8" t="s">
        <v>340</v>
      </c>
      <c r="F214" s="13" t="s">
        <v>341</v>
      </c>
      <c r="G214" s="46"/>
      <c r="H214" s="11" t="s">
        <v>459</v>
      </c>
      <c r="I214" s="6"/>
    </row>
    <row r="215" ht="23.25" customHeight="1">
      <c r="A215" s="5">
        <v>2.00085864E8</v>
      </c>
      <c r="B215" s="6" t="s">
        <v>460</v>
      </c>
      <c r="C215" s="6" t="s">
        <v>339</v>
      </c>
      <c r="D215" s="8" t="s">
        <v>12</v>
      </c>
      <c r="E215" s="8" t="s">
        <v>340</v>
      </c>
      <c r="F215" s="13" t="s">
        <v>341</v>
      </c>
      <c r="G215" s="46"/>
      <c r="H215" s="11" t="s">
        <v>461</v>
      </c>
      <c r="I215" s="6"/>
    </row>
    <row r="216" ht="23.25" customHeight="1">
      <c r="A216" s="5">
        <v>2.00085586E8</v>
      </c>
      <c r="B216" s="6" t="s">
        <v>462</v>
      </c>
      <c r="C216" s="6" t="s">
        <v>339</v>
      </c>
      <c r="D216" s="8" t="s">
        <v>12</v>
      </c>
      <c r="E216" s="8" t="s">
        <v>340</v>
      </c>
      <c r="F216" s="13" t="s">
        <v>341</v>
      </c>
      <c r="G216" s="14" t="s">
        <v>353</v>
      </c>
      <c r="H216" s="11" t="s">
        <v>463</v>
      </c>
      <c r="I216" s="6"/>
    </row>
    <row r="217" ht="23.25" customHeight="1">
      <c r="A217" s="5">
        <v>2.00085836E8</v>
      </c>
      <c r="B217" s="6" t="s">
        <v>464</v>
      </c>
      <c r="C217" s="6" t="s">
        <v>339</v>
      </c>
      <c r="D217" s="8" t="s">
        <v>12</v>
      </c>
      <c r="E217" s="8" t="s">
        <v>340</v>
      </c>
      <c r="F217" s="13" t="s">
        <v>341</v>
      </c>
      <c r="G217" s="14" t="s">
        <v>353</v>
      </c>
      <c r="H217" s="11" t="s">
        <v>465</v>
      </c>
      <c r="I217" s="6"/>
    </row>
    <row r="218" ht="23.25" customHeight="1">
      <c r="A218" s="15">
        <v>1.2121811E8</v>
      </c>
      <c r="B218" s="7" t="s">
        <v>466</v>
      </c>
      <c r="C218" s="6" t="s">
        <v>341</v>
      </c>
      <c r="D218" s="12" t="s">
        <v>64</v>
      </c>
      <c r="E218" s="12" t="s">
        <v>340</v>
      </c>
      <c r="F218" s="13" t="s">
        <v>341</v>
      </c>
      <c r="G218" s="10" t="s">
        <v>467</v>
      </c>
      <c r="H218" s="11"/>
      <c r="I218" s="6"/>
    </row>
    <row r="219" ht="23.25" customHeight="1">
      <c r="A219" s="31">
        <v>2.00004223E8</v>
      </c>
      <c r="B219" s="47" t="s">
        <v>468</v>
      </c>
      <c r="C219" s="7" t="s">
        <v>469</v>
      </c>
      <c r="D219" s="32" t="s">
        <v>12</v>
      </c>
      <c r="E219" s="32" t="s">
        <v>470</v>
      </c>
      <c r="F219" s="60" t="s">
        <v>471</v>
      </c>
      <c r="G219" s="37"/>
      <c r="H219" s="69" t="s">
        <v>472</v>
      </c>
      <c r="I219" s="47"/>
    </row>
    <row r="220" ht="23.25" customHeight="1">
      <c r="A220" s="31">
        <v>2.00004226E8</v>
      </c>
      <c r="B220" s="47" t="s">
        <v>473</v>
      </c>
      <c r="C220" s="7" t="s">
        <v>469</v>
      </c>
      <c r="D220" s="32" t="s">
        <v>12</v>
      </c>
      <c r="E220" s="32" t="s">
        <v>470</v>
      </c>
      <c r="F220" s="60" t="s">
        <v>471</v>
      </c>
      <c r="G220" s="37"/>
      <c r="H220" s="69" t="s">
        <v>472</v>
      </c>
      <c r="I220" s="47"/>
    </row>
    <row r="221" ht="23.25" customHeight="1">
      <c r="A221" s="31">
        <v>2.00004237E8</v>
      </c>
      <c r="B221" s="47" t="s">
        <v>474</v>
      </c>
      <c r="C221" s="7" t="s">
        <v>469</v>
      </c>
      <c r="D221" s="32" t="s">
        <v>12</v>
      </c>
      <c r="E221" s="32" t="s">
        <v>470</v>
      </c>
      <c r="F221" s="60" t="s">
        <v>471</v>
      </c>
      <c r="G221" s="37"/>
      <c r="H221" s="69" t="s">
        <v>475</v>
      </c>
      <c r="I221" s="47"/>
    </row>
    <row r="222" ht="23.25" customHeight="1">
      <c r="A222" s="31">
        <v>2.0000424E8</v>
      </c>
      <c r="B222" s="47" t="s">
        <v>476</v>
      </c>
      <c r="C222" s="7" t="s">
        <v>469</v>
      </c>
      <c r="D222" s="32" t="s">
        <v>12</v>
      </c>
      <c r="E222" s="32" t="s">
        <v>470</v>
      </c>
      <c r="F222" s="60" t="s">
        <v>471</v>
      </c>
      <c r="G222" s="37"/>
      <c r="H222" s="21" t="s">
        <v>477</v>
      </c>
      <c r="I222" s="22"/>
    </row>
    <row r="223" ht="23.25" customHeight="1">
      <c r="A223" s="31">
        <v>2.00000032E8</v>
      </c>
      <c r="B223" s="47" t="s">
        <v>478</v>
      </c>
      <c r="C223" s="7" t="s">
        <v>11</v>
      </c>
      <c r="D223" s="32" t="s">
        <v>12</v>
      </c>
      <c r="E223" s="32" t="s">
        <v>470</v>
      </c>
      <c r="F223" s="60" t="s">
        <v>471</v>
      </c>
      <c r="G223" s="37"/>
      <c r="H223" s="21" t="s">
        <v>479</v>
      </c>
      <c r="I223" s="22"/>
    </row>
    <row r="224" ht="23.25" customHeight="1">
      <c r="A224" s="31">
        <v>2.00000034E8</v>
      </c>
      <c r="B224" s="47" t="s">
        <v>480</v>
      </c>
      <c r="C224" s="7" t="s">
        <v>11</v>
      </c>
      <c r="D224" s="32" t="s">
        <v>12</v>
      </c>
      <c r="E224" s="32" t="s">
        <v>470</v>
      </c>
      <c r="F224" s="60" t="s">
        <v>471</v>
      </c>
      <c r="G224" s="37"/>
      <c r="H224" s="21" t="s">
        <v>480</v>
      </c>
      <c r="I224" s="22"/>
    </row>
    <row r="225" ht="23.25" customHeight="1">
      <c r="A225" s="15">
        <v>2.00003277E8</v>
      </c>
      <c r="B225" s="7" t="s">
        <v>481</v>
      </c>
      <c r="C225" s="7" t="s">
        <v>469</v>
      </c>
      <c r="D225" s="12" t="s">
        <v>12</v>
      </c>
      <c r="E225" s="12" t="s">
        <v>470</v>
      </c>
      <c r="F225" s="16" t="s">
        <v>482</v>
      </c>
      <c r="G225" s="37"/>
      <c r="H225" s="21" t="s">
        <v>483</v>
      </c>
      <c r="I225" s="22"/>
    </row>
    <row r="226" ht="23.25" customHeight="1">
      <c r="A226" s="15">
        <v>2.00003278E8</v>
      </c>
      <c r="B226" s="7" t="s">
        <v>484</v>
      </c>
      <c r="C226" s="7" t="s">
        <v>469</v>
      </c>
      <c r="D226" s="12" t="s">
        <v>12</v>
      </c>
      <c r="E226" s="12" t="s">
        <v>470</v>
      </c>
      <c r="F226" s="16" t="s">
        <v>482</v>
      </c>
      <c r="G226" s="37"/>
      <c r="H226" s="21" t="s">
        <v>483</v>
      </c>
      <c r="I226" s="22"/>
    </row>
    <row r="227" ht="23.25" customHeight="1">
      <c r="A227" s="15">
        <v>2.00135429E8</v>
      </c>
      <c r="B227" s="7" t="s">
        <v>485</v>
      </c>
      <c r="C227" s="7" t="s">
        <v>469</v>
      </c>
      <c r="D227" s="12" t="s">
        <v>12</v>
      </c>
      <c r="E227" s="12" t="s">
        <v>470</v>
      </c>
      <c r="F227" s="16" t="s">
        <v>27</v>
      </c>
      <c r="G227" s="37"/>
      <c r="H227" s="18" t="s">
        <v>486</v>
      </c>
      <c r="I227" s="7"/>
    </row>
    <row r="228" ht="23.25" customHeight="1">
      <c r="A228" s="15">
        <v>2.00000039E8</v>
      </c>
      <c r="B228" s="7" t="s">
        <v>487</v>
      </c>
      <c r="C228" s="7" t="s">
        <v>488</v>
      </c>
      <c r="D228" s="12" t="s">
        <v>12</v>
      </c>
      <c r="E228" s="12" t="s">
        <v>470</v>
      </c>
      <c r="F228" s="60" t="s">
        <v>471</v>
      </c>
      <c r="G228" s="37"/>
      <c r="H228" s="18" t="s">
        <v>487</v>
      </c>
      <c r="I228" s="7"/>
    </row>
    <row r="229" ht="23.25" customHeight="1">
      <c r="A229" s="15">
        <v>2.00000038E8</v>
      </c>
      <c r="B229" s="7" t="s">
        <v>489</v>
      </c>
      <c r="C229" s="7" t="s">
        <v>490</v>
      </c>
      <c r="D229" s="12" t="s">
        <v>12</v>
      </c>
      <c r="E229" s="12" t="s">
        <v>470</v>
      </c>
      <c r="F229" s="60" t="s">
        <v>471</v>
      </c>
      <c r="G229" s="37"/>
      <c r="H229" s="18" t="s">
        <v>489</v>
      </c>
      <c r="I229" s="7"/>
    </row>
    <row r="230" ht="23.25" customHeight="1">
      <c r="A230" s="15">
        <v>2.00006455E8</v>
      </c>
      <c r="B230" s="7" t="s">
        <v>491</v>
      </c>
      <c r="C230" s="7" t="s">
        <v>492</v>
      </c>
      <c r="D230" s="12" t="s">
        <v>257</v>
      </c>
      <c r="E230" s="12" t="s">
        <v>470</v>
      </c>
      <c r="F230" s="16"/>
      <c r="G230" s="37" t="s">
        <v>242</v>
      </c>
      <c r="H230" s="18" t="s">
        <v>491</v>
      </c>
      <c r="I230" s="7"/>
    </row>
    <row r="231" ht="23.25" customHeight="1">
      <c r="A231" s="15">
        <v>2.00000052E8</v>
      </c>
      <c r="B231" s="7" t="s">
        <v>493</v>
      </c>
      <c r="C231" s="7"/>
      <c r="D231" s="12" t="s">
        <v>257</v>
      </c>
      <c r="E231" s="12" t="s">
        <v>470</v>
      </c>
      <c r="F231" s="16"/>
      <c r="G231" s="37" t="s">
        <v>242</v>
      </c>
      <c r="H231" s="18" t="s">
        <v>493</v>
      </c>
      <c r="I231" s="7"/>
    </row>
    <row r="232" ht="23.25" customHeight="1">
      <c r="A232" s="70" t="s">
        <v>494</v>
      </c>
      <c r="B232" s="6" t="s">
        <v>495</v>
      </c>
      <c r="C232" s="7" t="s">
        <v>11</v>
      </c>
      <c r="D232" s="8" t="s">
        <v>12</v>
      </c>
      <c r="E232" s="12" t="s">
        <v>470</v>
      </c>
      <c r="F232" s="16" t="s">
        <v>496</v>
      </c>
      <c r="G232" s="10" t="s">
        <v>179</v>
      </c>
      <c r="H232" s="11" t="s">
        <v>497</v>
      </c>
      <c r="I232" s="6"/>
    </row>
    <row r="233" ht="23.25" customHeight="1">
      <c r="A233" s="5" t="s">
        <v>498</v>
      </c>
      <c r="B233" s="6" t="s">
        <v>499</v>
      </c>
      <c r="C233" s="7" t="s">
        <v>11</v>
      </c>
      <c r="D233" s="8" t="s">
        <v>12</v>
      </c>
      <c r="E233" s="8" t="s">
        <v>470</v>
      </c>
      <c r="F233" s="16" t="s">
        <v>496</v>
      </c>
      <c r="G233" s="17" t="s">
        <v>28</v>
      </c>
      <c r="H233" s="11" t="s">
        <v>500</v>
      </c>
      <c r="I233" s="6"/>
    </row>
    <row r="234" ht="23.25" customHeight="1">
      <c r="A234" s="5" t="s">
        <v>501</v>
      </c>
      <c r="B234" s="6" t="s">
        <v>502</v>
      </c>
      <c r="C234" s="7" t="s">
        <v>11</v>
      </c>
      <c r="D234" s="8" t="s">
        <v>12</v>
      </c>
      <c r="E234" s="8" t="s">
        <v>470</v>
      </c>
      <c r="F234" s="16" t="s">
        <v>503</v>
      </c>
      <c r="G234" s="10" t="s">
        <v>179</v>
      </c>
      <c r="H234" s="11" t="s">
        <v>504</v>
      </c>
      <c r="I234" s="6"/>
    </row>
    <row r="235" ht="23.25" customHeight="1">
      <c r="A235" s="5" t="s">
        <v>505</v>
      </c>
      <c r="B235" s="6" t="s">
        <v>506</v>
      </c>
      <c r="C235" s="7" t="s">
        <v>11</v>
      </c>
      <c r="D235" s="8" t="s">
        <v>12</v>
      </c>
      <c r="E235" s="8" t="s">
        <v>470</v>
      </c>
      <c r="F235" s="16" t="s">
        <v>496</v>
      </c>
      <c r="G235" s="10" t="s">
        <v>179</v>
      </c>
      <c r="H235" s="19" t="s">
        <v>507</v>
      </c>
      <c r="I235" s="20"/>
    </row>
    <row r="236" ht="23.25" customHeight="1">
      <c r="A236" s="5">
        <v>2.00037867E8</v>
      </c>
      <c r="B236" s="6" t="s">
        <v>508</v>
      </c>
      <c r="C236" s="7" t="s">
        <v>11</v>
      </c>
      <c r="D236" s="8" t="s">
        <v>12</v>
      </c>
      <c r="E236" s="8" t="s">
        <v>470</v>
      </c>
      <c r="F236" s="13"/>
      <c r="G236" s="17" t="s">
        <v>28</v>
      </c>
      <c r="H236" s="19" t="s">
        <v>508</v>
      </c>
      <c r="I236" s="20"/>
    </row>
    <row r="237" ht="23.25" customHeight="1">
      <c r="A237" s="71" t="s">
        <v>509</v>
      </c>
      <c r="B237" s="6" t="s">
        <v>510</v>
      </c>
      <c r="C237" s="7" t="s">
        <v>11</v>
      </c>
      <c r="D237" s="8" t="s">
        <v>12</v>
      </c>
      <c r="E237" s="8" t="s">
        <v>470</v>
      </c>
      <c r="F237" s="16" t="s">
        <v>496</v>
      </c>
      <c r="G237" s="10" t="s">
        <v>179</v>
      </c>
      <c r="H237" s="11" t="s">
        <v>511</v>
      </c>
      <c r="I237" s="6"/>
    </row>
    <row r="238" ht="23.25" customHeight="1">
      <c r="A238" s="15">
        <v>2.00000028E8</v>
      </c>
      <c r="B238" s="6" t="s">
        <v>512</v>
      </c>
      <c r="C238" s="7" t="s">
        <v>11</v>
      </c>
      <c r="D238" s="8" t="s">
        <v>12</v>
      </c>
      <c r="E238" s="8" t="s">
        <v>470</v>
      </c>
      <c r="F238" s="16" t="s">
        <v>496</v>
      </c>
      <c r="G238" s="10" t="s">
        <v>179</v>
      </c>
      <c r="H238" s="11" t="s">
        <v>513</v>
      </c>
      <c r="I238" s="6"/>
    </row>
    <row r="239" ht="23.25" customHeight="1">
      <c r="A239" s="5" t="s">
        <v>514</v>
      </c>
      <c r="B239" s="6" t="s">
        <v>515</v>
      </c>
      <c r="C239" s="7" t="s">
        <v>11</v>
      </c>
      <c r="D239" s="8" t="s">
        <v>12</v>
      </c>
      <c r="E239" s="8" t="s">
        <v>470</v>
      </c>
      <c r="F239" s="72" t="s">
        <v>516</v>
      </c>
      <c r="G239" s="17" t="s">
        <v>28</v>
      </c>
      <c r="H239" s="19" t="s">
        <v>517</v>
      </c>
      <c r="I239" s="20"/>
    </row>
  </sheetData>
  <conditionalFormatting sqref="G5 G24 G27 G44 G46 G48:G49 G52 G59 G65 G69 G187 G233 G236 G239">
    <cfRule type="colorScale" priority="1">
      <colorScale>
        <cfvo type="min"/>
        <cfvo type="max"/>
        <color rgb="FFFFFFFF"/>
        <color rgb="FF57BB8A"/>
      </colorScale>
    </cfRule>
  </conditionalFormatting>
  <conditionalFormatting sqref="G5 G24 G27 G44 G46 G48:G49 G52 G59 G65 G69 G187 G233 G236 G239">
    <cfRule type="cellIs" dxfId="5" priority="2" operator="equal">
      <formula>"Faltando"</formula>
    </cfRule>
  </conditionalFormatting>
  <conditionalFormatting sqref="G5 G24 G27 G44 G46 G48:G49 G52 G59 G65 G69 G187 G233 G236 G239">
    <cfRule type="cellIs" dxfId="6" priority="3" operator="equal">
      <formula>"OK"</formula>
    </cfRule>
  </conditionalFormatting>
  <conditionalFormatting sqref="G5 G24 G27 G44 G46 G48:G49 G52 G59 G65 G69 G187 G233 G236 G239">
    <cfRule type="cellIs" dxfId="7" priority="4" operator="equal">
      <formula>"ATENÇÃO"</formula>
    </cfRule>
  </conditionalFormatting>
  <dataValidations>
    <dataValidation type="list" allowBlank="1" sqref="E2:E239">
      <formula1>"CONSUMO,EPI,EXPEDIENTE,LIMPEZA,MATERIAL T.O,OFICINA,ORTESES E PROTESES,TAPEÇARIA,MOVEIS,OPM Auxiliares de Locomoção"</formula1>
    </dataValidation>
    <dataValidation allowBlank="1" showDropDown="1" sqref="G2:G239"/>
    <dataValidation type="list" allowBlank="1" sqref="D2:D239">
      <formula1>"UN,PCT,CX,RS,RL,MT,PÇ,JG,PAR"</formula1>
    </dataValidation>
  </dataValidations>
  <printOptions/>
  <pageMargins bottom="0.75" footer="0.0" header="0.0" left="1.0" right="1.0" top="0.75"/>
  <pageSetup paperSize="9"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43"/>
    <col customWidth="1" min="2" max="2" width="3.29"/>
    <col customWidth="1" min="3" max="3" width="17.14"/>
    <col customWidth="1" min="4" max="4" width="51.86"/>
    <col customWidth="1" min="5" max="5" width="14.43"/>
    <col customWidth="1" min="6" max="6" width="12.71"/>
    <col customWidth="1" min="7" max="7" width="23.71"/>
    <col customWidth="1" min="8" max="8" width="8.0"/>
    <col customWidth="1" min="9" max="9" width="12.0"/>
    <col customWidth="1" min="10" max="10" width="20.86"/>
    <col customWidth="1" min="11" max="11" width="59.0"/>
  </cols>
  <sheetData>
    <row r="1" ht="39.75" customHeight="1">
      <c r="A1" s="73" t="s">
        <v>518</v>
      </c>
      <c r="B1" s="73" t="s">
        <v>519</v>
      </c>
      <c r="C1" s="74" t="s">
        <v>0</v>
      </c>
      <c r="D1" s="75" t="s">
        <v>520</v>
      </c>
      <c r="E1" s="76" t="s">
        <v>521</v>
      </c>
      <c r="F1" s="76" t="s">
        <v>522</v>
      </c>
      <c r="G1" s="77" t="s">
        <v>523</v>
      </c>
      <c r="H1" s="77" t="s">
        <v>524</v>
      </c>
      <c r="I1" s="78" t="s">
        <v>525</v>
      </c>
      <c r="J1" s="79"/>
      <c r="K1" s="79"/>
    </row>
    <row r="2" ht="26.25" customHeight="1">
      <c r="A2" s="80"/>
      <c r="B2" s="81" t="str">
        <f t="shared" ref="B2:B796" si="1">TEXT(A2, "yyyy-mm")</f>
        <v>1899-12</v>
      </c>
      <c r="C2" s="61"/>
      <c r="D2" s="82" t="str">
        <f>IFERROR(VLOOKUP(C2,produto,2,FALSE), "Produto não encontrado")</f>
        <v>Produto não encontrado</v>
      </c>
      <c r="E2" s="83"/>
      <c r="F2" s="84"/>
      <c r="G2" s="7"/>
      <c r="H2" s="85"/>
      <c r="I2" s="86"/>
      <c r="J2" s="87"/>
      <c r="K2" s="88"/>
    </row>
    <row r="3" ht="26.25" customHeight="1">
      <c r="A3" s="80">
        <v>46175.0</v>
      </c>
      <c r="B3" s="81" t="str">
        <f t="shared" si="1"/>
        <v>2026-06</v>
      </c>
      <c r="C3" s="61">
        <v>2.00000088E8</v>
      </c>
      <c r="D3" s="82" t="str">
        <f>IFERROR(VLOOKUP(C3,produto,2,FALSE), "Produto não encontrado")</f>
        <v>(MTP-10)MALHA ORTOPEDICA TUBULAR 10CM</v>
      </c>
      <c r="E3" s="89" t="s">
        <v>526</v>
      </c>
      <c r="F3" s="84">
        <v>2.0</v>
      </c>
      <c r="G3" s="7" t="s">
        <v>527</v>
      </c>
      <c r="H3" s="85"/>
      <c r="I3" s="86"/>
      <c r="J3" s="87"/>
      <c r="K3" s="88"/>
    </row>
    <row r="4" ht="26.25" customHeight="1">
      <c r="A4" s="80">
        <v>46175.0</v>
      </c>
      <c r="B4" s="81" t="str">
        <f t="shared" si="1"/>
        <v>2026-06</v>
      </c>
      <c r="C4" s="61">
        <v>2.00000066E8</v>
      </c>
      <c r="D4" s="82" t="str">
        <f>IFERROR(VLOOKUP(C4,produto,2,FALSE), "Produto não encontrado")</f>
        <v>ATADURA GESSADA 15cm x 3m, cx com 20 und</v>
      </c>
      <c r="E4" s="89" t="s">
        <v>526</v>
      </c>
      <c r="F4" s="84">
        <v>2.0</v>
      </c>
      <c r="G4" s="7" t="s">
        <v>527</v>
      </c>
      <c r="H4" s="85"/>
      <c r="I4" s="86"/>
      <c r="J4" s="87"/>
      <c r="K4" s="88"/>
    </row>
    <row r="5" ht="26.25" customHeight="1">
      <c r="A5" s="80">
        <v>46175.0</v>
      </c>
      <c r="B5" s="81" t="str">
        <f t="shared" si="1"/>
        <v>2026-06</v>
      </c>
      <c r="C5" s="61">
        <v>2.00000081E8</v>
      </c>
      <c r="D5" s="82" t="str">
        <f>IFERROR(VLOOKUP(C5,produto,2,FALSE), "Produto não encontrado")</f>
        <v>ATADURA GESSADA 20cm x 2m, cx com 10 und</v>
      </c>
      <c r="E5" s="89" t="s">
        <v>526</v>
      </c>
      <c r="F5" s="84">
        <v>1.0</v>
      </c>
      <c r="G5" s="7" t="s">
        <v>527</v>
      </c>
      <c r="H5" s="85"/>
      <c r="I5" s="86"/>
      <c r="J5" s="87"/>
      <c r="K5" s="88"/>
    </row>
    <row r="6" ht="26.25" customHeight="1">
      <c r="A6" s="90">
        <v>46171.0</v>
      </c>
      <c r="B6" s="81" t="str">
        <f t="shared" si="1"/>
        <v>2026-05</v>
      </c>
      <c r="C6" s="61">
        <v>2.00000088E8</v>
      </c>
      <c r="D6" s="91" t="str">
        <f>IFERROR(VLOOKUP(C6,produto,2,FALSE), "Produto não encontrado")</f>
        <v>(MTP-10)MALHA ORTOPEDICA TUBULAR 10CM</v>
      </c>
      <c r="E6" s="92" t="s">
        <v>528</v>
      </c>
      <c r="F6" s="93">
        <v>1.0</v>
      </c>
      <c r="G6" s="7" t="s">
        <v>529</v>
      </c>
      <c r="H6" s="85" t="s">
        <v>530</v>
      </c>
      <c r="I6" s="86"/>
      <c r="J6" s="87"/>
      <c r="K6" s="88"/>
    </row>
    <row r="7" ht="26.25" customHeight="1">
      <c r="A7" s="90">
        <v>46171.0</v>
      </c>
      <c r="B7" s="81" t="str">
        <f t="shared" si="1"/>
        <v>2026-05</v>
      </c>
      <c r="C7" s="61">
        <v>2.00000096E8</v>
      </c>
      <c r="D7" s="91" t="str">
        <f>IFERROR(VLOOKUP(C7,produto,2,FALSE), "Produto não encontrado")</f>
        <v>RESINA RIGIDA PARA LAMINAÇÃO</v>
      </c>
      <c r="E7" s="92" t="s">
        <v>528</v>
      </c>
      <c r="F7" s="93">
        <v>1.0</v>
      </c>
      <c r="G7" s="7" t="s">
        <v>529</v>
      </c>
      <c r="H7" s="85" t="s">
        <v>530</v>
      </c>
      <c r="I7" s="86"/>
      <c r="J7" s="87"/>
      <c r="K7" s="88"/>
    </row>
    <row r="8" ht="26.25" customHeight="1">
      <c r="A8" s="90">
        <v>46170.0</v>
      </c>
      <c r="B8" s="81" t="str">
        <f t="shared" si="1"/>
        <v>2026-05</v>
      </c>
      <c r="C8" s="61">
        <v>2.00000088E8</v>
      </c>
      <c r="D8" s="91" t="str">
        <f>IFERROR(VLOOKUP(C8,produto,2,FALSE), "Produto não encontrado")</f>
        <v>(MTP-10)MALHA ORTOPEDICA TUBULAR 10CM</v>
      </c>
      <c r="E8" s="92" t="s">
        <v>528</v>
      </c>
      <c r="F8" s="93">
        <v>1.0</v>
      </c>
      <c r="G8" s="7" t="s">
        <v>529</v>
      </c>
      <c r="H8" s="85" t="s">
        <v>530</v>
      </c>
      <c r="I8" s="86"/>
      <c r="J8" s="87"/>
      <c r="K8" s="88"/>
    </row>
    <row r="9" ht="26.25" customHeight="1">
      <c r="A9" s="90">
        <v>46168.0</v>
      </c>
      <c r="B9" s="81" t="str">
        <f t="shared" si="1"/>
        <v>2026-05</v>
      </c>
      <c r="C9" s="61">
        <v>2.00000082E8</v>
      </c>
      <c r="D9" s="94" t="str">
        <f>IFERROR(VLOOKUP(C9,produto,2,FALSE), "Produto não encontrado")</f>
        <v>VALVULA DE SUCÇÃO EM BORRACHA</v>
      </c>
      <c r="E9" s="92" t="s">
        <v>528</v>
      </c>
      <c r="F9" s="93">
        <v>1.0</v>
      </c>
      <c r="G9" s="7" t="s">
        <v>529</v>
      </c>
      <c r="H9" s="85" t="s">
        <v>530</v>
      </c>
      <c r="I9" s="86"/>
      <c r="J9" s="87"/>
      <c r="K9" s="88"/>
    </row>
    <row r="10" ht="26.25" customHeight="1">
      <c r="A10" s="90">
        <v>46168.0</v>
      </c>
      <c r="B10" s="81" t="str">
        <f t="shared" si="1"/>
        <v>2026-05</v>
      </c>
      <c r="C10" s="61">
        <v>2.00000081E8</v>
      </c>
      <c r="D10" s="94" t="str">
        <f>IFERROR(VLOOKUP(C10,produto,2,FALSE), "Produto não encontrado")</f>
        <v>ATADURA GESSADA 20cm x 2m, cx com 10 und</v>
      </c>
      <c r="E10" s="92" t="s">
        <v>528</v>
      </c>
      <c r="F10" s="93">
        <v>1.0</v>
      </c>
      <c r="G10" s="7" t="s">
        <v>529</v>
      </c>
      <c r="H10" s="85" t="s">
        <v>530</v>
      </c>
      <c r="I10" s="86"/>
      <c r="J10" s="87"/>
      <c r="K10" s="88"/>
    </row>
    <row r="11" ht="26.25" customHeight="1">
      <c r="A11" s="90">
        <v>46168.0</v>
      </c>
      <c r="B11" s="81" t="str">
        <f t="shared" si="1"/>
        <v>2026-05</v>
      </c>
      <c r="C11" s="61">
        <v>2.00000066E8</v>
      </c>
      <c r="D11" s="94" t="str">
        <f>IFERROR(VLOOKUP(C11,produto,2,FALSE), "Produto não encontrado")</f>
        <v>ATADURA GESSADA 15cm x 3m, cx com 20 und</v>
      </c>
      <c r="E11" s="92" t="s">
        <v>528</v>
      </c>
      <c r="F11" s="93">
        <v>1.0</v>
      </c>
      <c r="G11" s="7" t="s">
        <v>529</v>
      </c>
      <c r="H11" s="85" t="s">
        <v>530</v>
      </c>
      <c r="I11" s="86"/>
      <c r="J11" s="87"/>
      <c r="K11" s="88"/>
    </row>
    <row r="12" ht="26.25" customHeight="1">
      <c r="A12" s="90">
        <v>46164.0</v>
      </c>
      <c r="B12" s="81" t="str">
        <f t="shared" si="1"/>
        <v>2026-05</v>
      </c>
      <c r="C12" s="61">
        <v>2.00000097E8</v>
      </c>
      <c r="D12" s="94" t="str">
        <f>IFERROR(VLOOKUP(C12,produto,2,FALSE), "Produto não encontrado")</f>
        <v>SILICONE SPRAY 300ML</v>
      </c>
      <c r="E12" s="92" t="s">
        <v>528</v>
      </c>
      <c r="F12" s="93">
        <v>1.0</v>
      </c>
      <c r="G12" s="7" t="s">
        <v>529</v>
      </c>
      <c r="H12" s="85" t="s">
        <v>530</v>
      </c>
      <c r="I12" s="86"/>
      <c r="J12" s="87"/>
      <c r="K12" s="88"/>
    </row>
    <row r="13" ht="26.25" customHeight="1">
      <c r="A13" s="90">
        <v>46163.0</v>
      </c>
      <c r="B13" s="81" t="str">
        <f t="shared" si="1"/>
        <v>2026-05</v>
      </c>
      <c r="C13" s="61">
        <v>2.00085859E8</v>
      </c>
      <c r="D13" s="94" t="str">
        <f>IFERROR(VLOOKUP(C13,produto,2,FALSE), "Produto não encontrado")</f>
        <v>PE SACH COM DEDOS DIREITO</v>
      </c>
      <c r="E13" s="92" t="s">
        <v>528</v>
      </c>
      <c r="F13" s="93">
        <v>1.0</v>
      </c>
      <c r="G13" s="7" t="s">
        <v>529</v>
      </c>
      <c r="H13" s="85" t="s">
        <v>530</v>
      </c>
      <c r="I13" s="86"/>
      <c r="J13" s="87"/>
      <c r="K13" s="88"/>
    </row>
    <row r="14" ht="26.25" customHeight="1">
      <c r="A14" s="90">
        <v>46163.0</v>
      </c>
      <c r="B14" s="81" t="str">
        <f t="shared" si="1"/>
        <v>2026-05</v>
      </c>
      <c r="C14" s="61">
        <v>2.00085861E8</v>
      </c>
      <c r="D14" s="94" t="str">
        <f>IFERROR(VLOOKUP(C14,produto,2,FALSE), "Produto não encontrado")</f>
        <v>PE SACH COM DEDOS ESQUERDO</v>
      </c>
      <c r="E14" s="92" t="s">
        <v>528</v>
      </c>
      <c r="F14" s="93">
        <v>1.0</v>
      </c>
      <c r="G14" s="7" t="s">
        <v>529</v>
      </c>
      <c r="H14" s="85" t="s">
        <v>530</v>
      </c>
      <c r="I14" s="86"/>
      <c r="J14" s="87"/>
      <c r="K14" s="88"/>
    </row>
    <row r="15" ht="26.25" customHeight="1">
      <c r="A15" s="90">
        <v>46163.0</v>
      </c>
      <c r="B15" s="81" t="str">
        <f t="shared" si="1"/>
        <v>2026-05</v>
      </c>
      <c r="C15" s="61">
        <v>2.00000083E8</v>
      </c>
      <c r="D15" s="94" t="str">
        <f>IFERROR(VLOOKUP(C15,produto,2,FALSE), "Produto não encontrado")</f>
        <v>MANTA FIBRA DE VIDRO</v>
      </c>
      <c r="E15" s="92" t="s">
        <v>528</v>
      </c>
      <c r="F15" s="93">
        <v>1.0</v>
      </c>
      <c r="G15" s="7" t="s">
        <v>529</v>
      </c>
      <c r="H15" s="85" t="s">
        <v>530</v>
      </c>
      <c r="I15" s="86"/>
      <c r="J15" s="87"/>
      <c r="K15" s="88"/>
    </row>
    <row r="16" ht="26.25" customHeight="1">
      <c r="A16" s="90">
        <v>46163.0</v>
      </c>
      <c r="B16" s="81" t="str">
        <f t="shared" si="1"/>
        <v>2026-05</v>
      </c>
      <c r="C16" s="61">
        <v>2.00000095E8</v>
      </c>
      <c r="D16" s="94" t="str">
        <f>IFERROR(VLOOKUP(C16,produto,2,FALSE), "Produto não encontrado")</f>
        <v>ENDURECEDOR PARA RESINA</v>
      </c>
      <c r="E16" s="92" t="s">
        <v>528</v>
      </c>
      <c r="F16" s="93">
        <v>1.0</v>
      </c>
      <c r="G16" s="7" t="s">
        <v>529</v>
      </c>
      <c r="H16" s="85" t="s">
        <v>530</v>
      </c>
      <c r="I16" s="86"/>
      <c r="J16" s="87"/>
      <c r="K16" s="88"/>
    </row>
    <row r="17" ht="26.25" customHeight="1">
      <c r="A17" s="90">
        <v>46163.0</v>
      </c>
      <c r="B17" s="81" t="str">
        <f t="shared" si="1"/>
        <v>2026-05</v>
      </c>
      <c r="C17" s="61">
        <v>2.00000096E8</v>
      </c>
      <c r="D17" s="94" t="str">
        <f>IFERROR(VLOOKUP(C17,produto,2,FALSE), "Produto não encontrado")</f>
        <v>RESINA RIGIDA PARA LAMINAÇÃO</v>
      </c>
      <c r="E17" s="92" t="s">
        <v>528</v>
      </c>
      <c r="F17" s="93">
        <v>1.0</v>
      </c>
      <c r="G17" s="7" t="s">
        <v>529</v>
      </c>
      <c r="H17" s="85" t="s">
        <v>530</v>
      </c>
      <c r="I17" s="86"/>
      <c r="J17" s="87"/>
      <c r="K17" s="88"/>
    </row>
    <row r="18" ht="26.25" customHeight="1">
      <c r="A18" s="90">
        <v>46163.0</v>
      </c>
      <c r="B18" s="81" t="str">
        <f t="shared" si="1"/>
        <v>2026-05</v>
      </c>
      <c r="C18" s="61">
        <v>2.00000083E8</v>
      </c>
      <c r="D18" s="94" t="str">
        <f>IFERROR(VLOOKUP(C18,produto,2,FALSE), "Produto não encontrado")</f>
        <v>MANTA FIBRA DE VIDRO</v>
      </c>
      <c r="E18" s="92" t="s">
        <v>528</v>
      </c>
      <c r="F18" s="93">
        <v>2.0</v>
      </c>
      <c r="G18" s="7" t="s">
        <v>529</v>
      </c>
      <c r="H18" s="85" t="s">
        <v>530</v>
      </c>
      <c r="I18" s="86"/>
      <c r="J18" s="87"/>
      <c r="K18" s="88"/>
    </row>
    <row r="19" ht="26.25" customHeight="1">
      <c r="A19" s="90">
        <v>46163.0</v>
      </c>
      <c r="B19" s="81" t="str">
        <f t="shared" si="1"/>
        <v>2026-05</v>
      </c>
      <c r="C19" s="61">
        <v>2.00000094E8</v>
      </c>
      <c r="D19" s="94" t="str">
        <f>IFERROR(VLOOKUP(C19,produto,2,FALSE), "Produto não encontrado")</f>
        <v>CONE DE PVC PARA LAMINAÇÃO (P)</v>
      </c>
      <c r="E19" s="92" t="s">
        <v>528</v>
      </c>
      <c r="F19" s="93">
        <v>1.0</v>
      </c>
      <c r="G19" s="7" t="s">
        <v>529</v>
      </c>
      <c r="H19" s="85" t="s">
        <v>530</v>
      </c>
      <c r="I19" s="86"/>
      <c r="J19" s="87"/>
      <c r="K19" s="88"/>
    </row>
    <row r="20" ht="26.25" customHeight="1">
      <c r="A20" s="90">
        <v>46163.0</v>
      </c>
      <c r="B20" s="81" t="str">
        <f t="shared" si="1"/>
        <v>2026-05</v>
      </c>
      <c r="C20" s="61">
        <v>2.00000093E8</v>
      </c>
      <c r="D20" s="94" t="str">
        <f>IFERROR(VLOOKUP(C20,produto,2,FALSE), "Produto não encontrado")</f>
        <v>CONE DE PVC PARA LAMINAÇÃO (M)</v>
      </c>
      <c r="E20" s="92" t="s">
        <v>528</v>
      </c>
      <c r="F20" s="93">
        <v>1.0</v>
      </c>
      <c r="G20" s="7" t="s">
        <v>529</v>
      </c>
      <c r="H20" s="85" t="s">
        <v>530</v>
      </c>
      <c r="I20" s="86"/>
      <c r="J20" s="87"/>
      <c r="K20" s="88"/>
    </row>
    <row r="21" ht="26.25" customHeight="1">
      <c r="A21" s="90">
        <v>46163.0</v>
      </c>
      <c r="B21" s="81" t="str">
        <f t="shared" si="1"/>
        <v>2026-05</v>
      </c>
      <c r="C21" s="61">
        <v>2.00000092E8</v>
      </c>
      <c r="D21" s="94" t="str">
        <f>IFERROR(VLOOKUP(C21,produto,2,FALSE), "Produto não encontrado")</f>
        <v>CONE DE PVC PARA LAMINAÇÃO (G)</v>
      </c>
      <c r="E21" s="92" t="s">
        <v>528</v>
      </c>
      <c r="F21" s="93">
        <v>1.0</v>
      </c>
      <c r="G21" s="7" t="s">
        <v>529</v>
      </c>
      <c r="H21" s="85" t="s">
        <v>530</v>
      </c>
      <c r="I21" s="86"/>
      <c r="J21" s="87"/>
      <c r="K21" s="88"/>
    </row>
    <row r="22" ht="26.25" customHeight="1">
      <c r="A22" s="90">
        <v>46162.0</v>
      </c>
      <c r="B22" s="81" t="str">
        <f t="shared" si="1"/>
        <v>2026-05</v>
      </c>
      <c r="C22" s="61">
        <v>2.00085557E8</v>
      </c>
      <c r="D22" s="94" t="str">
        <f>IFERROR(VLOOKUP(C22,produto,2,FALSE), "Produto não encontrado")</f>
        <v>ADAP. COM 3 HASTES C/ PIRAMIDE FIXO UNICO/UNICO</v>
      </c>
      <c r="E22" s="92" t="s">
        <v>528</v>
      </c>
      <c r="F22" s="93">
        <v>1.0</v>
      </c>
      <c r="G22" s="7" t="s">
        <v>529</v>
      </c>
      <c r="H22" s="85" t="s">
        <v>530</v>
      </c>
      <c r="I22" s="86"/>
      <c r="J22" s="87"/>
      <c r="K22" s="88"/>
    </row>
    <row r="23" ht="26.25" customHeight="1">
      <c r="A23" s="90">
        <v>46161.0</v>
      </c>
      <c r="B23" s="81" t="str">
        <f t="shared" si="1"/>
        <v>2026-05</v>
      </c>
      <c r="C23" s="61">
        <v>2.00000066E8</v>
      </c>
      <c r="D23" s="94" t="str">
        <f>IFERROR(VLOOKUP(C23,produto,2,FALSE), "Produto não encontrado")</f>
        <v>ATADURA GESSADA 15cm x 3m, cx com 20 und</v>
      </c>
      <c r="E23" s="92" t="s">
        <v>528</v>
      </c>
      <c r="F23" s="93">
        <v>1.0</v>
      </c>
      <c r="G23" s="7" t="s">
        <v>531</v>
      </c>
      <c r="H23" s="85" t="s">
        <v>530</v>
      </c>
      <c r="I23" s="86"/>
      <c r="J23" s="87"/>
      <c r="K23" s="88"/>
    </row>
    <row r="24" ht="26.25" customHeight="1">
      <c r="A24" s="90">
        <v>46156.0</v>
      </c>
      <c r="B24" s="81" t="str">
        <f t="shared" si="1"/>
        <v>2026-05</v>
      </c>
      <c r="C24" s="62" t="s">
        <v>329</v>
      </c>
      <c r="D24" s="94" t="str">
        <f>IFERROR(VLOOKUP(C24,produto,2,FALSE), "Produto não encontrado")</f>
        <v>ESTOFAMENTO DE ASSENTO</v>
      </c>
      <c r="E24" s="92" t="s">
        <v>528</v>
      </c>
      <c r="F24" s="93">
        <v>1.0</v>
      </c>
      <c r="G24" s="7"/>
      <c r="H24" s="85"/>
      <c r="I24" s="86"/>
      <c r="J24" s="87"/>
      <c r="K24" s="88"/>
    </row>
    <row r="25" ht="26.25" customHeight="1">
      <c r="A25" s="90">
        <v>46156.0</v>
      </c>
      <c r="B25" s="81" t="str">
        <f t="shared" si="1"/>
        <v>2026-05</v>
      </c>
      <c r="C25" s="68" t="s">
        <v>332</v>
      </c>
      <c r="D25" s="94" t="str">
        <f>IFERROR(VLOOKUP(C25,produto,2,FALSE), "Produto não encontrado")</f>
        <v>ESTOFAMENTO DE ENCOSTO</v>
      </c>
      <c r="E25" s="92" t="s">
        <v>528</v>
      </c>
      <c r="F25" s="93">
        <v>1.0</v>
      </c>
      <c r="G25" s="7"/>
      <c r="H25" s="85"/>
      <c r="I25" s="86"/>
      <c r="J25" s="87"/>
      <c r="K25" s="88"/>
    </row>
    <row r="26" ht="26.25" customHeight="1">
      <c r="A26" s="90">
        <v>46155.0</v>
      </c>
      <c r="B26" s="81" t="str">
        <f t="shared" si="1"/>
        <v>2026-05</v>
      </c>
      <c r="C26" s="15">
        <v>2.00033068E8</v>
      </c>
      <c r="D26" s="94" t="str">
        <f>IFERROR(VLOOKUP(C26,produto,2,FALSE), "Produto não encontrado")</f>
        <v> PAPEL SULFITE A4 210 X 297MM 75G BRANCO MULTIUSO PACOTE COM 500 FLS</v>
      </c>
      <c r="E26" s="92" t="s">
        <v>528</v>
      </c>
      <c r="F26" s="93">
        <v>1.0</v>
      </c>
      <c r="G26" s="7"/>
      <c r="H26" s="85"/>
      <c r="I26" s="86"/>
      <c r="J26" s="87"/>
      <c r="K26" s="88"/>
    </row>
    <row r="27" ht="26.25" customHeight="1">
      <c r="A27" s="90">
        <v>46155.0</v>
      </c>
      <c r="B27" s="81" t="str">
        <f t="shared" si="1"/>
        <v>2026-05</v>
      </c>
      <c r="C27" s="15">
        <v>2.00036189E8</v>
      </c>
      <c r="D27" s="94" t="str">
        <f>IFERROR(VLOOKUP(C27,produto,2,FALSE), "Produto não encontrado")</f>
        <v>COPO DESCARTAVEL 180ML</v>
      </c>
      <c r="E27" s="92" t="s">
        <v>528</v>
      </c>
      <c r="F27" s="93">
        <v>1.0</v>
      </c>
      <c r="G27" s="7" t="s">
        <v>532</v>
      </c>
      <c r="H27" s="85"/>
      <c r="I27" s="86"/>
      <c r="J27" s="87"/>
      <c r="K27" s="88"/>
    </row>
    <row r="28" ht="26.25" customHeight="1">
      <c r="A28" s="90">
        <v>46154.0</v>
      </c>
      <c r="B28" s="81" t="str">
        <f t="shared" si="1"/>
        <v>2026-05</v>
      </c>
      <c r="C28" s="15">
        <v>2.0008597E8</v>
      </c>
      <c r="D28" s="94" t="str">
        <f>IFERROR(VLOOKUP(C28,produto,2,FALSE), "Produto não encontrado")</f>
        <v>COLA DE CONTATO MULTIUSO DE 2,8KG</v>
      </c>
      <c r="E28" s="92" t="s">
        <v>528</v>
      </c>
      <c r="F28" s="93">
        <v>1.0</v>
      </c>
      <c r="G28" s="7"/>
      <c r="H28" s="85"/>
      <c r="I28" s="86"/>
      <c r="J28" s="87"/>
      <c r="K28" s="88"/>
    </row>
    <row r="29" ht="26.25" customHeight="1">
      <c r="A29" s="90">
        <v>46150.0</v>
      </c>
      <c r="B29" s="81" t="str">
        <f t="shared" si="1"/>
        <v>2026-05</v>
      </c>
      <c r="C29" s="15">
        <v>2.00036189E8</v>
      </c>
      <c r="D29" s="94" t="str">
        <f>IFERROR(VLOOKUP(C29,produto,2,FALSE), "Produto não encontrado")</f>
        <v>COPO DESCARTAVEL 180ML</v>
      </c>
      <c r="E29" s="92" t="s">
        <v>528</v>
      </c>
      <c r="F29" s="93">
        <v>1.0</v>
      </c>
      <c r="G29" s="7" t="s">
        <v>533</v>
      </c>
      <c r="H29" s="85"/>
      <c r="I29" s="86"/>
      <c r="J29" s="87"/>
      <c r="K29" s="88"/>
    </row>
    <row r="30" ht="26.25" customHeight="1">
      <c r="A30" s="90">
        <v>46149.0</v>
      </c>
      <c r="B30" s="81" t="str">
        <f t="shared" si="1"/>
        <v>2026-05</v>
      </c>
      <c r="C30" s="15">
        <v>2.00000065E8</v>
      </c>
      <c r="D30" s="94" t="str">
        <f>IFERROR(VLOOKUP(C30,produto,2,FALSE), "Produto não encontrado")</f>
        <v>ATADURA GESSADA 20cm x 4m, cx com 20 und</v>
      </c>
      <c r="E30" s="92" t="s">
        <v>528</v>
      </c>
      <c r="F30" s="93">
        <v>1.0</v>
      </c>
      <c r="G30" s="7" t="s">
        <v>534</v>
      </c>
      <c r="H30" s="85"/>
      <c r="I30" s="86"/>
      <c r="J30" s="87"/>
      <c r="K30" s="88"/>
    </row>
    <row r="31" ht="26.25" customHeight="1">
      <c r="A31" s="90">
        <v>46148.0</v>
      </c>
      <c r="B31" s="81" t="str">
        <f t="shared" si="1"/>
        <v>2026-05</v>
      </c>
      <c r="C31" s="15">
        <v>2.00000054E8</v>
      </c>
      <c r="D31" s="94" t="str">
        <f>IFERROR(VLOOKUP(C31,produto,2,FALSE), "Produto não encontrado")</f>
        <v>FITA DE BORDA 1,5 x 2,5 x 1mm</v>
      </c>
      <c r="E31" s="92" t="s">
        <v>528</v>
      </c>
      <c r="F31" s="93">
        <v>1.0</v>
      </c>
      <c r="G31" s="7" t="s">
        <v>535</v>
      </c>
      <c r="H31" s="85"/>
      <c r="I31" s="86"/>
      <c r="J31" s="87"/>
      <c r="K31" s="88"/>
    </row>
    <row r="32" ht="26.25" customHeight="1">
      <c r="A32" s="90">
        <v>46148.0</v>
      </c>
      <c r="B32" s="81" t="str">
        <f t="shared" si="1"/>
        <v>2026-05</v>
      </c>
      <c r="C32" s="15">
        <v>2.00036577E8</v>
      </c>
      <c r="D32" s="94" t="str">
        <f>IFERROR(VLOOKUP(C32,produto,2,FALSE), "Produto não encontrado")</f>
        <v>GRAMPEADOR</v>
      </c>
      <c r="E32" s="92" t="s">
        <v>526</v>
      </c>
      <c r="F32" s="93">
        <v>2.0</v>
      </c>
      <c r="G32" s="7" t="s">
        <v>536</v>
      </c>
      <c r="H32" s="85"/>
      <c r="I32" s="86"/>
      <c r="J32" s="87"/>
      <c r="K32" s="88"/>
    </row>
    <row r="33" ht="26.25" customHeight="1">
      <c r="A33" s="90">
        <v>46148.0</v>
      </c>
      <c r="B33" s="81" t="str">
        <f t="shared" si="1"/>
        <v>2026-05</v>
      </c>
      <c r="C33" s="15">
        <v>2.00043606E8</v>
      </c>
      <c r="D33" s="94" t="str">
        <f>IFERROR(VLOOKUP(C33,produto,2,FALSE), "Produto não encontrado")</f>
        <v>PASTA OFICIO EM PAPELAO COM TRILHO 250X340MM</v>
      </c>
      <c r="E33" s="92" t="s">
        <v>526</v>
      </c>
      <c r="F33" s="93">
        <v>10.0</v>
      </c>
      <c r="G33" s="7" t="s">
        <v>536</v>
      </c>
      <c r="H33" s="85"/>
      <c r="I33" s="86"/>
      <c r="J33" s="87"/>
      <c r="K33" s="88"/>
    </row>
    <row r="34" ht="26.25" customHeight="1">
      <c r="A34" s="90">
        <v>46148.0</v>
      </c>
      <c r="B34" s="81" t="str">
        <f t="shared" si="1"/>
        <v>2026-05</v>
      </c>
      <c r="C34" s="15">
        <v>2.00070939E8</v>
      </c>
      <c r="D34" s="94" t="str">
        <f>IFERROR(VLOOKUP(C34,produto,2,FALSE), "Produto não encontrado")</f>
        <v>MASCARA DE PROTEÇÃO PFR95 FILTRO N95 (PRETA)</v>
      </c>
      <c r="E34" s="92" t="s">
        <v>526</v>
      </c>
      <c r="F34" s="93">
        <v>5.0</v>
      </c>
      <c r="G34" s="7" t="s">
        <v>536</v>
      </c>
      <c r="H34" s="85"/>
      <c r="I34" s="86"/>
      <c r="J34" s="87"/>
      <c r="K34" s="88"/>
    </row>
    <row r="35" ht="26.25" customHeight="1">
      <c r="A35" s="90">
        <v>46148.0</v>
      </c>
      <c r="B35" s="81" t="str">
        <f t="shared" si="1"/>
        <v>2026-05</v>
      </c>
      <c r="C35" s="15">
        <v>2.00033068E8</v>
      </c>
      <c r="D35" s="94" t="str">
        <f>IFERROR(VLOOKUP(C35,produto,2,FALSE), "Produto não encontrado")</f>
        <v> PAPEL SULFITE A4 210 X 297MM 75G BRANCO MULTIUSO PACOTE COM 500 FLS</v>
      </c>
      <c r="E35" s="92" t="s">
        <v>526</v>
      </c>
      <c r="F35" s="93">
        <v>6.0</v>
      </c>
      <c r="G35" s="7" t="s">
        <v>536</v>
      </c>
      <c r="H35" s="85"/>
      <c r="I35" s="86"/>
      <c r="J35" s="87"/>
      <c r="K35" s="88"/>
    </row>
    <row r="36" ht="26.25" customHeight="1">
      <c r="A36" s="90">
        <v>46148.0</v>
      </c>
      <c r="B36" s="81" t="str">
        <f t="shared" si="1"/>
        <v>2026-05</v>
      </c>
      <c r="C36" s="15">
        <v>2.00036793E8</v>
      </c>
      <c r="D36" s="94" t="str">
        <f>IFERROR(VLOOKUP(C36,produto,2,FALSE), "Produto não encontrado")</f>
        <v>COLHER DESCARTAVEL 12CM COM 50 UNIDADES</v>
      </c>
      <c r="E36" s="92" t="s">
        <v>526</v>
      </c>
      <c r="F36" s="93">
        <v>3.0</v>
      </c>
      <c r="G36" s="7" t="s">
        <v>536</v>
      </c>
      <c r="H36" s="85"/>
      <c r="I36" s="86"/>
      <c r="J36" s="87"/>
      <c r="K36" s="88"/>
    </row>
    <row r="37" ht="26.25" customHeight="1">
      <c r="A37" s="90">
        <v>46148.0</v>
      </c>
      <c r="B37" s="81" t="str">
        <f t="shared" si="1"/>
        <v>2026-05</v>
      </c>
      <c r="C37" s="15">
        <v>2.00036792E8</v>
      </c>
      <c r="D37" s="94" t="str">
        <f>IFERROR(VLOOKUP(C37,produto,2,FALSE), "Produto não encontrado")</f>
        <v>GARFO DESCARTAVEL 15CM COM 50 UNIDADES</v>
      </c>
      <c r="E37" s="92" t="s">
        <v>526</v>
      </c>
      <c r="F37" s="93">
        <v>3.0</v>
      </c>
      <c r="G37" s="7" t="s">
        <v>536</v>
      </c>
      <c r="H37" s="85"/>
      <c r="I37" s="86"/>
      <c r="J37" s="87"/>
      <c r="K37" s="88"/>
    </row>
    <row r="38" ht="26.25" customHeight="1">
      <c r="A38" s="90">
        <v>46148.0</v>
      </c>
      <c r="B38" s="81" t="str">
        <f t="shared" si="1"/>
        <v>2026-05</v>
      </c>
      <c r="C38" s="15">
        <v>2.00036791E8</v>
      </c>
      <c r="D38" s="94" t="str">
        <f>IFERROR(VLOOKUP(C38,produto,2,FALSE), "Produto não encontrado")</f>
        <v>PAPEL GUARDANAPO DE 20X22CM COM 50 FOLHAS</v>
      </c>
      <c r="E38" s="92" t="s">
        <v>526</v>
      </c>
      <c r="F38" s="93">
        <v>3.0</v>
      </c>
      <c r="G38" s="7" t="s">
        <v>536</v>
      </c>
      <c r="H38" s="85"/>
      <c r="I38" s="86"/>
      <c r="J38" s="87"/>
      <c r="K38" s="88"/>
    </row>
    <row r="39" ht="26.25" customHeight="1">
      <c r="A39" s="90">
        <v>46148.0</v>
      </c>
      <c r="B39" s="81" t="str">
        <f t="shared" si="1"/>
        <v>2026-05</v>
      </c>
      <c r="C39" s="15">
        <v>2.0000923E8</v>
      </c>
      <c r="D39" s="94" t="str">
        <f>IFERROR(VLOOKUP(C39,produto,2,FALSE), "Produto não encontrado")</f>
        <v>PRATO DESCARTAVEL 12CM FUNDO</v>
      </c>
      <c r="E39" s="92" t="s">
        <v>526</v>
      </c>
      <c r="F39" s="93">
        <v>3.0</v>
      </c>
      <c r="G39" s="7" t="s">
        <v>536</v>
      </c>
      <c r="H39" s="85"/>
      <c r="I39" s="86"/>
      <c r="J39" s="87"/>
      <c r="K39" s="88"/>
    </row>
    <row r="40" ht="26.25" customHeight="1">
      <c r="A40" s="90">
        <v>46148.0</v>
      </c>
      <c r="B40" s="81" t="str">
        <f t="shared" si="1"/>
        <v>2026-05</v>
      </c>
      <c r="C40" s="28">
        <v>2.00036793E8</v>
      </c>
      <c r="D40" s="94" t="str">
        <f>IFERROR(VLOOKUP(C40,produto,2,FALSE), "Produto não encontrado")</f>
        <v>COLHER DESCARTAVEL 12CM COM 50 UNIDADES</v>
      </c>
      <c r="E40" s="92" t="s">
        <v>526</v>
      </c>
      <c r="F40" s="93">
        <v>3.0</v>
      </c>
      <c r="G40" s="7" t="s">
        <v>536</v>
      </c>
      <c r="H40" s="85"/>
      <c r="I40" s="86"/>
      <c r="J40" s="87"/>
      <c r="K40" s="88"/>
    </row>
    <row r="41" ht="26.25" customHeight="1">
      <c r="A41" s="90">
        <v>46148.0</v>
      </c>
      <c r="B41" s="81" t="str">
        <f t="shared" si="1"/>
        <v>2026-05</v>
      </c>
      <c r="C41" s="28">
        <v>2.00066176E8</v>
      </c>
      <c r="D41" s="94" t="str">
        <f>IFERROR(VLOOKUP(C41,produto,2,FALSE), "Produto não encontrado")</f>
        <v>TESOURA MULTIUSO SEM PONTA</v>
      </c>
      <c r="E41" s="92" t="s">
        <v>526</v>
      </c>
      <c r="F41" s="93">
        <v>5.0</v>
      </c>
      <c r="G41" s="7" t="s">
        <v>536</v>
      </c>
      <c r="H41" s="85"/>
      <c r="I41" s="86"/>
      <c r="J41" s="87"/>
      <c r="K41" s="88"/>
    </row>
    <row r="42" ht="26.25" customHeight="1">
      <c r="A42" s="90">
        <v>46148.0</v>
      </c>
      <c r="B42" s="81" t="str">
        <f t="shared" si="1"/>
        <v>2026-05</v>
      </c>
      <c r="C42" s="28">
        <v>2.00039379E8</v>
      </c>
      <c r="D42" s="94" t="str">
        <f>IFERROR(VLOOKUP(C42,produto,2,FALSE), "Produto não encontrado")</f>
        <v>CLIPS NIQUELADO Nº 8 COM 25 UN</v>
      </c>
      <c r="E42" s="92" t="s">
        <v>526</v>
      </c>
      <c r="F42" s="93">
        <v>3.0</v>
      </c>
      <c r="G42" s="7" t="s">
        <v>536</v>
      </c>
      <c r="H42" s="85"/>
      <c r="I42" s="86"/>
      <c r="J42" s="87"/>
      <c r="K42" s="88"/>
    </row>
    <row r="43" ht="26.25" customHeight="1">
      <c r="A43" s="90">
        <v>46148.0</v>
      </c>
      <c r="B43" s="81" t="str">
        <f t="shared" si="1"/>
        <v>2026-05</v>
      </c>
      <c r="C43" s="28">
        <v>2.00036733E8</v>
      </c>
      <c r="D43" s="94" t="str">
        <f>IFERROR(VLOOKUP(C43,produto,2,FALSE), "Produto não encontrado")</f>
        <v> CANETA MARCA TEXTO PLASTICA COR AMARELO</v>
      </c>
      <c r="E43" s="92" t="s">
        <v>526</v>
      </c>
      <c r="F43" s="93">
        <v>3.0</v>
      </c>
      <c r="G43" s="7" t="s">
        <v>536</v>
      </c>
      <c r="H43" s="85"/>
      <c r="I43" s="86"/>
      <c r="J43" s="87"/>
      <c r="K43" s="88"/>
    </row>
    <row r="44" ht="26.25" customHeight="1">
      <c r="A44" s="90">
        <v>46148.0</v>
      </c>
      <c r="B44" s="81" t="str">
        <f t="shared" si="1"/>
        <v>2026-05</v>
      </c>
      <c r="C44" s="28">
        <v>2.00036189E8</v>
      </c>
      <c r="D44" s="94" t="str">
        <f>IFERROR(VLOOKUP(C44,produto,2,FALSE), "Produto não encontrado")</f>
        <v>COPO DESCARTAVEL 180ML</v>
      </c>
      <c r="E44" s="92" t="s">
        <v>526</v>
      </c>
      <c r="F44" s="93">
        <v>4.0</v>
      </c>
      <c r="G44" s="7" t="s">
        <v>536</v>
      </c>
      <c r="H44" s="85"/>
      <c r="I44" s="86"/>
      <c r="J44" s="87"/>
      <c r="K44" s="88"/>
    </row>
    <row r="45" ht="26.25" customHeight="1">
      <c r="A45" s="90">
        <v>46169.0</v>
      </c>
      <c r="B45" s="81" t="str">
        <f t="shared" si="1"/>
        <v>2026-05</v>
      </c>
      <c r="C45" s="28">
        <v>2.00000054E8</v>
      </c>
      <c r="D45" s="94" t="str">
        <f>IFERROR(VLOOKUP(C45,produto,2,FALSE), "Produto não encontrado")</f>
        <v>FITA DE BORDA 1,5 x 2,5 x 1mm</v>
      </c>
      <c r="E45" s="92" t="s">
        <v>526</v>
      </c>
      <c r="F45" s="93">
        <v>3.0</v>
      </c>
      <c r="G45" s="7" t="s">
        <v>537</v>
      </c>
      <c r="H45" s="85"/>
      <c r="I45" s="86"/>
      <c r="J45" s="87"/>
      <c r="K45" s="88"/>
    </row>
    <row r="46" ht="26.25" customHeight="1">
      <c r="A46" s="90">
        <v>46169.0</v>
      </c>
      <c r="B46" s="81" t="str">
        <f t="shared" si="1"/>
        <v>2026-05</v>
      </c>
      <c r="C46" s="28">
        <v>2.00001302E8</v>
      </c>
      <c r="D46" s="94" t="str">
        <f>IFERROR(VLOOKUP(C46,produto,2,FALSE), "Produto não encontrado")</f>
        <v>FORRAÇÃO ADESIVO 3M</v>
      </c>
      <c r="E46" s="92" t="s">
        <v>526</v>
      </c>
      <c r="F46" s="93">
        <v>5.0</v>
      </c>
      <c r="G46" s="7" t="s">
        <v>537</v>
      </c>
      <c r="H46" s="85"/>
      <c r="I46" s="86"/>
      <c r="J46" s="87"/>
      <c r="K46" s="88"/>
    </row>
    <row r="47" ht="26.25" customHeight="1">
      <c r="A47" s="90">
        <v>46169.0</v>
      </c>
      <c r="B47" s="81" t="str">
        <f t="shared" si="1"/>
        <v>2026-05</v>
      </c>
      <c r="C47" s="70" t="s">
        <v>211</v>
      </c>
      <c r="D47" s="94" t="str">
        <f>IFERROR(VLOOKUP(C47,produto,2,FALSE), "Produto não encontrado")</f>
        <v>PLACA TERMOPLASTICA - ORFIT ECO NATUREL 45 x 60cm x 3.2mm MINI Perforated</v>
      </c>
      <c r="E47" s="92" t="s">
        <v>526</v>
      </c>
      <c r="F47" s="93">
        <v>15.0</v>
      </c>
      <c r="G47" s="7" t="s">
        <v>537</v>
      </c>
      <c r="H47" s="85"/>
      <c r="I47" s="86"/>
      <c r="J47" s="87"/>
      <c r="K47" s="88"/>
    </row>
    <row r="48" ht="26.25" customHeight="1">
      <c r="A48" s="90">
        <v>46169.0</v>
      </c>
      <c r="B48" s="81" t="str">
        <f t="shared" si="1"/>
        <v>2026-05</v>
      </c>
      <c r="C48" s="28">
        <v>2.00000054E8</v>
      </c>
      <c r="D48" s="94" t="str">
        <f>IFERROR(VLOOKUP(C48,produto,2,FALSE), "Produto não encontrado")</f>
        <v>FITA DE BORDA 1,5 x 2,5 x 1mm</v>
      </c>
      <c r="E48" s="92" t="s">
        <v>528</v>
      </c>
      <c r="F48" s="93">
        <v>1.0</v>
      </c>
      <c r="G48" s="7" t="s">
        <v>535</v>
      </c>
      <c r="H48" s="85"/>
      <c r="I48" s="86"/>
      <c r="J48" s="87"/>
      <c r="K48" s="88"/>
    </row>
    <row r="49" ht="26.25" customHeight="1">
      <c r="A49" s="90">
        <v>46139.0</v>
      </c>
      <c r="B49" s="81" t="str">
        <f t="shared" si="1"/>
        <v>2026-04</v>
      </c>
      <c r="C49" s="70" t="s">
        <v>211</v>
      </c>
      <c r="D49" s="94" t="str">
        <f>IFERROR(VLOOKUP(C49,produto,2,FALSE), "Produto não encontrado")</f>
        <v>PLACA TERMOPLASTICA - ORFIT ECO NATUREL 45 x 60cm x 3.2mm MINI Perforated</v>
      </c>
      <c r="E49" s="92" t="s">
        <v>528</v>
      </c>
      <c r="F49" s="93">
        <v>3.0</v>
      </c>
      <c r="G49" s="7" t="s">
        <v>535</v>
      </c>
      <c r="H49" s="85"/>
      <c r="I49" s="86"/>
      <c r="J49" s="87"/>
      <c r="K49" s="88"/>
    </row>
    <row r="50" ht="26.25" customHeight="1">
      <c r="A50" s="90">
        <v>46147.0</v>
      </c>
      <c r="B50" s="81" t="str">
        <f t="shared" si="1"/>
        <v>2026-05</v>
      </c>
      <c r="C50" s="95">
        <v>2.0000008E8</v>
      </c>
      <c r="D50" s="94" t="str">
        <f>IFERROR(VLOOKUP(C50,produto,2,FALSE), "Produto não encontrado")</f>
        <v>ATADURA GESSADA 15cm x 2m, cx com 10 und</v>
      </c>
      <c r="E50" s="92" t="s">
        <v>528</v>
      </c>
      <c r="F50" s="93">
        <v>1.0</v>
      </c>
      <c r="G50" s="7" t="s">
        <v>538</v>
      </c>
      <c r="H50" s="85"/>
      <c r="I50" s="86"/>
      <c r="J50" s="87"/>
      <c r="K50" s="88"/>
    </row>
    <row r="51" ht="26.25" customHeight="1">
      <c r="A51" s="90">
        <v>46148.0</v>
      </c>
      <c r="B51" s="81" t="str">
        <f t="shared" si="1"/>
        <v>2026-05</v>
      </c>
      <c r="C51" s="95">
        <v>2.0000004E8</v>
      </c>
      <c r="D51" s="94" t="str">
        <f>IFERROR(VLOOKUP(C51,produto,2,FALSE), "Produto não encontrado")</f>
        <v>ATADURA GESSADA 10cm x 3m, cx com 20 und</v>
      </c>
      <c r="E51" s="92" t="s">
        <v>528</v>
      </c>
      <c r="F51" s="93">
        <v>1.0</v>
      </c>
      <c r="G51" s="7" t="s">
        <v>534</v>
      </c>
      <c r="H51" s="85"/>
      <c r="I51" s="86"/>
      <c r="J51" s="87"/>
      <c r="K51" s="88"/>
    </row>
    <row r="52" ht="26.25" customHeight="1">
      <c r="A52" s="90">
        <v>46169.0</v>
      </c>
      <c r="B52" s="81" t="str">
        <f t="shared" si="1"/>
        <v>2026-05</v>
      </c>
      <c r="C52" s="95">
        <v>2.0000008E8</v>
      </c>
      <c r="D52" s="94" t="str">
        <f>IFERROR(VLOOKUP(C52,produto,2,FALSE), "Produto não encontrado")</f>
        <v>ATADURA GESSADA 15cm x 2m, cx com 10 und</v>
      </c>
      <c r="E52" s="92" t="s">
        <v>526</v>
      </c>
      <c r="F52" s="93">
        <v>3.0</v>
      </c>
      <c r="G52" s="7" t="s">
        <v>537</v>
      </c>
      <c r="H52" s="85"/>
      <c r="I52" s="86"/>
      <c r="J52" s="87"/>
      <c r="K52" s="88"/>
    </row>
    <row r="53" ht="26.25" customHeight="1">
      <c r="A53" s="90">
        <v>46169.0</v>
      </c>
      <c r="B53" s="81" t="str">
        <f t="shared" si="1"/>
        <v>2026-05</v>
      </c>
      <c r="C53" s="95">
        <v>2.0000004E8</v>
      </c>
      <c r="D53" s="94" t="str">
        <f>IFERROR(VLOOKUP(C53,produto,2,FALSE), "Produto não encontrado")</f>
        <v>ATADURA GESSADA 10cm x 3m, cx com 20 und</v>
      </c>
      <c r="E53" s="92" t="s">
        <v>526</v>
      </c>
      <c r="F53" s="93">
        <v>5.0</v>
      </c>
      <c r="G53" s="7" t="s">
        <v>537</v>
      </c>
      <c r="H53" s="85"/>
      <c r="I53" s="86"/>
      <c r="J53" s="87"/>
      <c r="K53" s="88"/>
    </row>
    <row r="54" ht="26.25" customHeight="1">
      <c r="A54" s="90">
        <v>46146.0</v>
      </c>
      <c r="B54" s="81" t="str">
        <f t="shared" si="1"/>
        <v>2026-05</v>
      </c>
      <c r="C54" s="95">
        <v>2.00060665E8</v>
      </c>
      <c r="D54" s="94" t="str">
        <f>IFERROR(VLOOKUP(C54,produto,2,FALSE), "Produto não encontrado")</f>
        <v>CORRETIVO LIQUIDO DE 18ML</v>
      </c>
      <c r="E54" s="92" t="s">
        <v>528</v>
      </c>
      <c r="F54" s="93">
        <v>1.0</v>
      </c>
      <c r="G54" s="7"/>
      <c r="H54" s="85"/>
      <c r="I54" s="86"/>
      <c r="J54" s="87"/>
      <c r="K54" s="88"/>
    </row>
    <row r="55" ht="26.25" customHeight="1">
      <c r="A55" s="90">
        <v>46142.0</v>
      </c>
      <c r="B55" s="81" t="str">
        <f t="shared" si="1"/>
        <v>2026-04</v>
      </c>
      <c r="C55" s="95">
        <v>2.00046152E8</v>
      </c>
      <c r="D55" s="94" t="str">
        <f>IFERROR(VLOOKUP(C55,produto,2,FALSE), "Produto não encontrado")</f>
        <v>MESA DE ATIVIDADES PARA CADEIRA DE RODAS</v>
      </c>
      <c r="E55" s="92" t="s">
        <v>528</v>
      </c>
      <c r="F55" s="93">
        <v>1.0</v>
      </c>
      <c r="G55" s="7" t="s">
        <v>539</v>
      </c>
      <c r="H55" s="85" t="s">
        <v>540</v>
      </c>
      <c r="I55" s="86"/>
      <c r="J55" s="87"/>
      <c r="K55" s="88"/>
    </row>
    <row r="56" ht="26.25" customHeight="1">
      <c r="A56" s="90">
        <v>46142.0</v>
      </c>
      <c r="B56" s="81" t="str">
        <f t="shared" si="1"/>
        <v>2026-04</v>
      </c>
      <c r="C56" s="95">
        <v>2.00078042E8</v>
      </c>
      <c r="D56" s="94" t="str">
        <f>IFERROR(VLOOKUP(C56,produto,2,FALSE), "Produto não encontrado")</f>
        <v>MULETA CANADENSE ARTICULADA ALUMINIO REF: AG 6017</v>
      </c>
      <c r="E56" s="92" t="s">
        <v>528</v>
      </c>
      <c r="F56" s="93">
        <v>1.0</v>
      </c>
      <c r="G56" s="7" t="s">
        <v>539</v>
      </c>
      <c r="H56" s="85" t="s">
        <v>541</v>
      </c>
      <c r="I56" s="86"/>
      <c r="J56" s="87"/>
      <c r="K56" s="88"/>
    </row>
    <row r="57" ht="26.25" customHeight="1">
      <c r="A57" s="90">
        <v>46142.0</v>
      </c>
      <c r="B57" s="81" t="str">
        <f t="shared" si="1"/>
        <v>2026-04</v>
      </c>
      <c r="C57" s="96" t="s">
        <v>316</v>
      </c>
      <c r="D57" s="94" t="str">
        <f>IFERROR(VLOOKUP(C57,produto,2,FALSE), "Produto não encontrado")</f>
        <v>CJ PEDAL ADULTO DIR/ESQ K2/K3 (PAR)</v>
      </c>
      <c r="E57" s="92" t="s">
        <v>528</v>
      </c>
      <c r="F57" s="93">
        <v>1.0</v>
      </c>
      <c r="G57" s="7" t="s">
        <v>542</v>
      </c>
      <c r="H57" s="85"/>
      <c r="I57" s="86"/>
      <c r="J57" s="87"/>
      <c r="K57" s="88"/>
    </row>
    <row r="58" ht="26.25" customHeight="1">
      <c r="A58" s="90">
        <v>46142.0</v>
      </c>
      <c r="B58" s="81" t="str">
        <f t="shared" si="1"/>
        <v>2026-04</v>
      </c>
      <c r="C58" s="95">
        <v>2.00000045E8</v>
      </c>
      <c r="D58" s="94" t="str">
        <f>IFERROR(VLOOKUP(C58,produto,2,FALSE), "Produto não encontrado")</f>
        <v>Malha Tubular de Algodão 10cm x 15m</v>
      </c>
      <c r="E58" s="92" t="s">
        <v>528</v>
      </c>
      <c r="F58" s="93">
        <v>4.0</v>
      </c>
      <c r="G58" s="7" t="s">
        <v>543</v>
      </c>
      <c r="H58" s="85" t="s">
        <v>544</v>
      </c>
      <c r="I58" s="86"/>
      <c r="J58" s="87"/>
      <c r="K58" s="88"/>
    </row>
    <row r="59" ht="26.25" customHeight="1">
      <c r="A59" s="90">
        <v>46142.0</v>
      </c>
      <c r="B59" s="81" t="str">
        <f t="shared" si="1"/>
        <v>2026-04</v>
      </c>
      <c r="C59" s="95">
        <v>2.07218574E8</v>
      </c>
      <c r="D59" s="94" t="str">
        <f>IFERROR(VLOOKUP(C59,produto,2,FALSE), "Produto não encontrado")</f>
        <v>LUVA EPI ALGODÃO MALHA PIGMENTADA PRETA</v>
      </c>
      <c r="E59" s="92" t="s">
        <v>528</v>
      </c>
      <c r="F59" s="93">
        <v>1.0</v>
      </c>
      <c r="G59" s="7" t="s">
        <v>545</v>
      </c>
      <c r="H59" s="85"/>
      <c r="I59" s="86"/>
      <c r="J59" s="87"/>
      <c r="K59" s="88"/>
    </row>
    <row r="60" ht="26.25" customHeight="1">
      <c r="A60" s="90">
        <v>46142.0</v>
      </c>
      <c r="B60" s="81" t="str">
        <f t="shared" si="1"/>
        <v>2026-04</v>
      </c>
      <c r="C60" s="95">
        <v>2.00000097E8</v>
      </c>
      <c r="D60" s="94" t="str">
        <f>IFERROR(VLOOKUP(C60,produto,2,FALSE), "Produto não encontrado")</f>
        <v>SILICONE SPRAY 300ML</v>
      </c>
      <c r="E60" s="92" t="s">
        <v>528</v>
      </c>
      <c r="F60" s="93">
        <v>1.0</v>
      </c>
      <c r="G60" s="7" t="s">
        <v>545</v>
      </c>
      <c r="H60" s="85"/>
      <c r="I60" s="86"/>
      <c r="J60" s="87"/>
      <c r="K60" s="88"/>
    </row>
    <row r="61" ht="26.25" customHeight="1">
      <c r="A61" s="90">
        <v>46142.0</v>
      </c>
      <c r="B61" s="81" t="str">
        <f t="shared" si="1"/>
        <v>2026-04</v>
      </c>
      <c r="C61" s="95">
        <v>2.00033068E8</v>
      </c>
      <c r="D61" s="94" t="str">
        <f>IFERROR(VLOOKUP(C61,produto,2,FALSE), "Produto não encontrado")</f>
        <v> PAPEL SULFITE A4 210 X 297MM 75G BRANCO MULTIUSO PACOTE COM 500 FLS</v>
      </c>
      <c r="E61" s="92" t="s">
        <v>528</v>
      </c>
      <c r="F61" s="93">
        <v>1.0</v>
      </c>
      <c r="G61" s="97" t="s">
        <v>546</v>
      </c>
      <c r="H61" s="85"/>
      <c r="I61" s="86"/>
      <c r="J61" s="87"/>
      <c r="K61" s="88"/>
    </row>
    <row r="62" ht="26.25" customHeight="1">
      <c r="A62" s="90">
        <v>46141.0</v>
      </c>
      <c r="B62" s="81" t="str">
        <f t="shared" si="1"/>
        <v>2026-04</v>
      </c>
      <c r="C62" s="95">
        <v>2.0000004E8</v>
      </c>
      <c r="D62" s="91" t="str">
        <f>IFERROR(VLOOKUP(C62,produto,2,FALSE), "Produto não encontrado")</f>
        <v>ATADURA GESSADA 10cm x 3m, cx com 20 und</v>
      </c>
      <c r="E62" s="92" t="s">
        <v>528</v>
      </c>
      <c r="F62" s="93">
        <v>1.0</v>
      </c>
      <c r="G62" s="97"/>
      <c r="H62" s="85"/>
      <c r="I62" s="86"/>
      <c r="J62" s="87"/>
      <c r="K62" s="88"/>
    </row>
    <row r="63" ht="26.25" customHeight="1">
      <c r="A63" s="90">
        <v>46139.0</v>
      </c>
      <c r="B63" s="81" t="str">
        <f t="shared" si="1"/>
        <v>2026-04</v>
      </c>
      <c r="C63" s="96" t="s">
        <v>332</v>
      </c>
      <c r="D63" s="91" t="str">
        <f>IFERROR(VLOOKUP(C63,produto,2,FALSE), "Produto não encontrado")</f>
        <v>ESTOFAMENTO DE ENCOSTO</v>
      </c>
      <c r="E63" s="92" t="s">
        <v>528</v>
      </c>
      <c r="F63" s="93">
        <v>1.0</v>
      </c>
      <c r="G63" s="97" t="s">
        <v>547</v>
      </c>
      <c r="H63" s="98" t="s">
        <v>548</v>
      </c>
      <c r="I63" s="86"/>
      <c r="J63" s="87"/>
      <c r="K63" s="88"/>
    </row>
    <row r="64" ht="26.25" customHeight="1">
      <c r="A64" s="90">
        <v>46139.0</v>
      </c>
      <c r="B64" s="81" t="str">
        <f t="shared" si="1"/>
        <v>2026-04</v>
      </c>
      <c r="C64" s="96" t="s">
        <v>329</v>
      </c>
      <c r="D64" s="91" t="str">
        <f>IFERROR(VLOOKUP(C64,produto,2,FALSE), "Produto não encontrado")</f>
        <v>ESTOFAMENTO DE ASSENTO</v>
      </c>
      <c r="E64" s="92" t="s">
        <v>528</v>
      </c>
      <c r="F64" s="93">
        <v>1.0</v>
      </c>
      <c r="G64" s="97" t="s">
        <v>547</v>
      </c>
      <c r="H64" s="99" t="s">
        <v>549</v>
      </c>
      <c r="I64" s="86"/>
      <c r="J64" s="87"/>
      <c r="K64" s="88"/>
    </row>
    <row r="65" ht="26.25" customHeight="1">
      <c r="A65" s="90">
        <v>46139.0</v>
      </c>
      <c r="B65" s="81" t="str">
        <f t="shared" si="1"/>
        <v>2026-04</v>
      </c>
      <c r="C65" s="96" t="s">
        <v>332</v>
      </c>
      <c r="D65" s="91" t="str">
        <f>IFERROR(VLOOKUP(C65,produto,2,FALSE), "Produto não encontrado")</f>
        <v>ESTOFAMENTO DE ENCOSTO</v>
      </c>
      <c r="E65" s="92" t="s">
        <v>528</v>
      </c>
      <c r="F65" s="93">
        <v>1.0</v>
      </c>
      <c r="G65" s="97" t="s">
        <v>547</v>
      </c>
      <c r="H65" s="98" t="s">
        <v>550</v>
      </c>
      <c r="I65" s="86"/>
      <c r="J65" s="87"/>
      <c r="K65" s="88"/>
    </row>
    <row r="66" ht="26.25" customHeight="1">
      <c r="A66" s="90">
        <v>46139.0</v>
      </c>
      <c r="B66" s="81" t="str">
        <f t="shared" si="1"/>
        <v>2026-04</v>
      </c>
      <c r="C66" s="96" t="s">
        <v>329</v>
      </c>
      <c r="D66" s="91" t="str">
        <f>IFERROR(VLOOKUP(C66,produto,2,FALSE), "Produto não encontrado")</f>
        <v>ESTOFAMENTO DE ASSENTO</v>
      </c>
      <c r="E66" s="92" t="s">
        <v>528</v>
      </c>
      <c r="F66" s="93">
        <v>1.0</v>
      </c>
      <c r="G66" s="97" t="s">
        <v>547</v>
      </c>
      <c r="H66" s="99" t="s">
        <v>551</v>
      </c>
      <c r="I66" s="86"/>
      <c r="J66" s="87"/>
      <c r="K66" s="88"/>
    </row>
    <row r="67" ht="26.25" customHeight="1">
      <c r="A67" s="90">
        <v>46139.0</v>
      </c>
      <c r="B67" s="81" t="str">
        <f t="shared" si="1"/>
        <v>2026-04</v>
      </c>
      <c r="C67" s="96" t="s">
        <v>327</v>
      </c>
      <c r="D67" s="91" t="str">
        <f>IFERROR(VLOOKUP(C67,produto,2,FALSE), "Produto não encontrado")</f>
        <v>CJ APOIO CABECA L33 AI</v>
      </c>
      <c r="E67" s="92" t="s">
        <v>528</v>
      </c>
      <c r="F67" s="93">
        <v>1.0</v>
      </c>
      <c r="G67" s="97" t="s">
        <v>547</v>
      </c>
      <c r="H67" s="85" t="s">
        <v>552</v>
      </c>
      <c r="I67" s="86"/>
      <c r="J67" s="87"/>
      <c r="K67" s="88"/>
    </row>
    <row r="68" ht="26.25" customHeight="1">
      <c r="A68" s="90">
        <v>46139.0</v>
      </c>
      <c r="B68" s="81" t="str">
        <f t="shared" si="1"/>
        <v>2026-04</v>
      </c>
      <c r="C68" s="95">
        <v>2.00064766E8</v>
      </c>
      <c r="D68" s="91" t="str">
        <f>IFERROR(VLOOKUP(C68,produto,2,FALSE), "Produto não encontrado")</f>
        <v>PASTA COM ELASTICO LONGA 335 X 245 X 55MM</v>
      </c>
      <c r="E68" s="92" t="s">
        <v>528</v>
      </c>
      <c r="F68" s="93">
        <v>2.0</v>
      </c>
      <c r="G68" s="97"/>
      <c r="H68" s="85"/>
      <c r="I68" s="86"/>
      <c r="J68" s="87"/>
      <c r="K68" s="88"/>
    </row>
    <row r="69" ht="26.25" customHeight="1">
      <c r="A69" s="90">
        <v>46135.0</v>
      </c>
      <c r="B69" s="81" t="str">
        <f t="shared" si="1"/>
        <v>2026-04</v>
      </c>
      <c r="C69" s="95">
        <v>2.00041824E8</v>
      </c>
      <c r="D69" s="91" t="str">
        <f>IFERROR(VLOOKUP(C69,produto,2,FALSE), "Produto não encontrado")</f>
        <v>ELASTICOS AMARELO</v>
      </c>
      <c r="E69" s="92" t="s">
        <v>528</v>
      </c>
      <c r="F69" s="93">
        <v>2.0</v>
      </c>
      <c r="G69" s="97" t="s">
        <v>553</v>
      </c>
      <c r="H69" s="85"/>
      <c r="I69" s="86"/>
      <c r="J69" s="87"/>
      <c r="K69" s="88"/>
    </row>
    <row r="70" ht="26.25" customHeight="1">
      <c r="A70" s="90">
        <v>46129.0</v>
      </c>
      <c r="B70" s="81" t="str">
        <f t="shared" si="1"/>
        <v>2026-04</v>
      </c>
      <c r="C70" s="95">
        <v>2.00036618E8</v>
      </c>
      <c r="D70" s="91" t="str">
        <f>IFERROR(VLOOKUP(C70,produto,2,FALSE), "Produto não encontrado")</f>
        <v>ESPONJA SINTETICA DUPLA FACE 10X7X2</v>
      </c>
      <c r="E70" s="92" t="s">
        <v>528</v>
      </c>
      <c r="F70" s="93">
        <v>1.0</v>
      </c>
      <c r="G70" s="7" t="s">
        <v>536</v>
      </c>
      <c r="H70" s="85"/>
      <c r="I70" s="86"/>
      <c r="J70" s="87"/>
      <c r="K70" s="88"/>
    </row>
    <row r="71" ht="26.25" customHeight="1">
      <c r="A71" s="90">
        <v>46113.0</v>
      </c>
      <c r="B71" s="81" t="str">
        <f t="shared" si="1"/>
        <v>2026-04</v>
      </c>
      <c r="C71" s="95">
        <v>2.0000005E8</v>
      </c>
      <c r="D71" s="91" t="str">
        <f>IFERROR(VLOOKUP(C71,produto,2,FALSE), "Produto não encontrado")</f>
        <v>ORFICAST BLUE 300cm x 3cm FITA TERMOPLASTICA</v>
      </c>
      <c r="E71" s="92" t="s">
        <v>528</v>
      </c>
      <c r="F71" s="93">
        <v>1.0</v>
      </c>
      <c r="G71" s="7" t="s">
        <v>554</v>
      </c>
      <c r="H71" s="85"/>
      <c r="I71" s="86"/>
      <c r="J71" s="87"/>
      <c r="K71" s="88"/>
    </row>
    <row r="72" ht="26.25" customHeight="1">
      <c r="A72" s="90">
        <v>46113.0</v>
      </c>
      <c r="B72" s="81" t="str">
        <f t="shared" si="1"/>
        <v>2026-04</v>
      </c>
      <c r="C72" s="95">
        <v>2.0000005E8</v>
      </c>
      <c r="D72" s="91" t="str">
        <f>IFERROR(VLOOKUP(C72,produto,2,FALSE), "Produto não encontrado")</f>
        <v>ORFICAST BLUE 300cm x 3cm FITA TERMOPLASTICA</v>
      </c>
      <c r="E72" s="92" t="s">
        <v>526</v>
      </c>
      <c r="F72" s="93">
        <v>3.0</v>
      </c>
      <c r="G72" s="7" t="s">
        <v>555</v>
      </c>
      <c r="H72" s="85"/>
      <c r="I72" s="86"/>
      <c r="J72" s="87"/>
      <c r="K72" s="88"/>
    </row>
    <row r="73" ht="26.25" customHeight="1">
      <c r="A73" s="90">
        <v>46113.0</v>
      </c>
      <c r="B73" s="81" t="str">
        <f t="shared" si="1"/>
        <v>2026-04</v>
      </c>
      <c r="C73" s="95">
        <v>2.00000098E8</v>
      </c>
      <c r="D73" s="91" t="str">
        <f>IFERROR(VLOOKUP(C73,produto,2,FALSE), "Produto não encontrado")</f>
        <v>LAMINA SURFORM</v>
      </c>
      <c r="E73" s="92" t="s">
        <v>526</v>
      </c>
      <c r="F73" s="93">
        <v>3.0</v>
      </c>
      <c r="G73" s="7" t="s">
        <v>555</v>
      </c>
      <c r="H73" s="85"/>
      <c r="I73" s="86"/>
      <c r="J73" s="87"/>
      <c r="K73" s="88"/>
    </row>
    <row r="74" ht="26.25" customHeight="1">
      <c r="A74" s="90">
        <v>46127.0</v>
      </c>
      <c r="B74" s="81" t="str">
        <f t="shared" si="1"/>
        <v>2026-04</v>
      </c>
      <c r="C74" s="95">
        <v>2.00036189E8</v>
      </c>
      <c r="D74" s="91" t="str">
        <f>IFERROR(VLOOKUP(C74,produto,2,FALSE), "Produto não encontrado")</f>
        <v>COPO DESCARTAVEL 180ML</v>
      </c>
      <c r="E74" s="92" t="s">
        <v>528</v>
      </c>
      <c r="F74" s="93">
        <v>4.0</v>
      </c>
      <c r="G74" s="7" t="s">
        <v>556</v>
      </c>
      <c r="H74" s="85"/>
      <c r="I74" s="86"/>
      <c r="J74" s="87"/>
      <c r="K74" s="88"/>
    </row>
    <row r="75" ht="26.25" customHeight="1">
      <c r="A75" s="90">
        <v>46113.0</v>
      </c>
      <c r="B75" s="81" t="str">
        <f t="shared" si="1"/>
        <v>2026-04</v>
      </c>
      <c r="C75" s="95">
        <v>2.00000097E8</v>
      </c>
      <c r="D75" s="91" t="str">
        <f>IFERROR(VLOOKUP(C75,produto,2,FALSE), "Produto não encontrado")</f>
        <v>SILICONE SPRAY 300ML</v>
      </c>
      <c r="E75" s="92" t="s">
        <v>528</v>
      </c>
      <c r="F75" s="93">
        <v>1.0</v>
      </c>
      <c r="G75" s="7" t="s">
        <v>556</v>
      </c>
      <c r="H75" s="85"/>
      <c r="I75" s="86"/>
      <c r="J75" s="87"/>
      <c r="K75" s="88"/>
    </row>
    <row r="76" ht="26.25" customHeight="1">
      <c r="A76" s="90">
        <v>46113.0</v>
      </c>
      <c r="B76" s="81" t="str">
        <f t="shared" si="1"/>
        <v>2026-04</v>
      </c>
      <c r="C76" s="95">
        <v>2.00000097E8</v>
      </c>
      <c r="D76" s="91" t="str">
        <f>IFERROR(VLOOKUP(C76,produto,2,FALSE), "Produto não encontrado")</f>
        <v>SILICONE SPRAY 300ML</v>
      </c>
      <c r="E76" s="92" t="s">
        <v>526</v>
      </c>
      <c r="F76" s="93">
        <v>6.0</v>
      </c>
      <c r="G76" s="7" t="s">
        <v>555</v>
      </c>
      <c r="H76" s="85"/>
      <c r="I76" s="86"/>
      <c r="J76" s="87"/>
      <c r="K76" s="88"/>
    </row>
    <row r="77" ht="26.25" customHeight="1">
      <c r="A77" s="90">
        <v>46127.0</v>
      </c>
      <c r="B77" s="81" t="str">
        <f t="shared" si="1"/>
        <v>2026-04</v>
      </c>
      <c r="C77" s="95">
        <v>2.00078043E8</v>
      </c>
      <c r="D77" s="91" t="str">
        <f>IFERROR(VLOOKUP(C77,produto,2,FALSE), "Produto não encontrado")</f>
        <v>MULETA AXILAR EM ALUMINIO REF: AG 6008</v>
      </c>
      <c r="E77" s="92" t="s">
        <v>526</v>
      </c>
      <c r="F77" s="93">
        <v>14.0</v>
      </c>
      <c r="G77" s="7" t="s">
        <v>557</v>
      </c>
      <c r="H77" s="85"/>
      <c r="I77" s="86"/>
      <c r="J77" s="87"/>
      <c r="K77" s="88"/>
    </row>
    <row r="78" ht="26.25" customHeight="1">
      <c r="A78" s="90">
        <v>46127.0</v>
      </c>
      <c r="B78" s="81" t="str">
        <f t="shared" si="1"/>
        <v>2026-04</v>
      </c>
      <c r="C78" s="95">
        <v>2.00078042E8</v>
      </c>
      <c r="D78" s="91" t="str">
        <f>IFERROR(VLOOKUP(C78,produto,2,FALSE), "Produto não encontrado")</f>
        <v>MULETA CANADENSE ARTICULADA ALUMINIO REF: AG 6017</v>
      </c>
      <c r="E78" s="92" t="s">
        <v>528</v>
      </c>
      <c r="F78" s="93">
        <v>1.0</v>
      </c>
      <c r="G78" s="7" t="s">
        <v>558</v>
      </c>
      <c r="H78" s="85"/>
      <c r="I78" s="86"/>
      <c r="J78" s="87"/>
      <c r="K78" s="88"/>
    </row>
    <row r="79" ht="26.25" customHeight="1">
      <c r="A79" s="90">
        <v>46127.0</v>
      </c>
      <c r="B79" s="81" t="str">
        <f t="shared" si="1"/>
        <v>2026-04</v>
      </c>
      <c r="C79" s="95">
        <v>2.00078042E8</v>
      </c>
      <c r="D79" s="91" t="str">
        <f>IFERROR(VLOOKUP(C79,produto,2,FALSE), "Produto não encontrado")</f>
        <v>MULETA CANADENSE ARTICULADA ALUMINIO REF: AG 6017</v>
      </c>
      <c r="E79" s="92" t="s">
        <v>526</v>
      </c>
      <c r="F79" s="93">
        <v>20.0</v>
      </c>
      <c r="G79" s="7" t="s">
        <v>557</v>
      </c>
      <c r="H79" s="85"/>
      <c r="I79" s="86"/>
      <c r="J79" s="87"/>
      <c r="K79" s="88"/>
    </row>
    <row r="80" ht="26.25" customHeight="1">
      <c r="A80" s="90">
        <v>46126.0</v>
      </c>
      <c r="B80" s="81" t="str">
        <f t="shared" si="1"/>
        <v>2026-04</v>
      </c>
      <c r="C80" s="95">
        <v>2.00062843E8</v>
      </c>
      <c r="D80" s="91" t="str">
        <f>IFERROR(VLOOKUP(C80,produto,2,FALSE), "Produto não encontrado")</f>
        <v>PILHA ALCALINA PALITO - AAA - LR03 04UN</v>
      </c>
      <c r="E80" s="92" t="s">
        <v>526</v>
      </c>
      <c r="F80" s="93">
        <v>3.0</v>
      </c>
      <c r="G80" s="7" t="s">
        <v>557</v>
      </c>
      <c r="H80" s="85"/>
      <c r="I80" s="86"/>
      <c r="J80" s="87"/>
      <c r="K80" s="88"/>
    </row>
    <row r="81" ht="26.25" customHeight="1">
      <c r="A81" s="90">
        <v>46126.0</v>
      </c>
      <c r="B81" s="81" t="str">
        <f t="shared" si="1"/>
        <v>2026-04</v>
      </c>
      <c r="C81" s="95">
        <v>2.0007495E8</v>
      </c>
      <c r="D81" s="91" t="str">
        <f>IFERROR(VLOOKUP(C81,produto,2,FALSE), "Produto não encontrado")</f>
        <v>PILHA ALCALINA AA 1,5V COM 4 UNIDADES</v>
      </c>
      <c r="E81" s="92" t="s">
        <v>528</v>
      </c>
      <c r="F81" s="93">
        <v>1.0</v>
      </c>
      <c r="G81" s="7" t="s">
        <v>545</v>
      </c>
      <c r="H81" s="85"/>
      <c r="I81" s="86"/>
      <c r="J81" s="87"/>
      <c r="K81" s="88"/>
    </row>
    <row r="82" ht="26.25" customHeight="1">
      <c r="A82" s="90">
        <v>46126.0</v>
      </c>
      <c r="B82" s="81" t="str">
        <f t="shared" si="1"/>
        <v>2026-04</v>
      </c>
      <c r="C82" s="95">
        <v>2.00061889E8</v>
      </c>
      <c r="D82" s="91" t="str">
        <f>IFERROR(VLOOKUP(C82,produto,2,FALSE), "Produto não encontrado")</f>
        <v>MASCARA DE PROTEÇÃO PFF2 FILTRO N95( BRANCA)</v>
      </c>
      <c r="E82" s="92" t="s">
        <v>526</v>
      </c>
      <c r="F82" s="93">
        <v>7.0</v>
      </c>
      <c r="G82" s="7" t="s">
        <v>557</v>
      </c>
      <c r="H82" s="85"/>
      <c r="I82" s="86"/>
      <c r="J82" s="87"/>
      <c r="K82" s="88"/>
    </row>
    <row r="83" ht="26.25" customHeight="1">
      <c r="A83" s="90">
        <v>46126.0</v>
      </c>
      <c r="B83" s="81" t="str">
        <f t="shared" si="1"/>
        <v>2026-04</v>
      </c>
      <c r="C83" s="95">
        <v>2.00000081E8</v>
      </c>
      <c r="D83" s="91" t="str">
        <f>IFERROR(VLOOKUP(C83,produto,2,FALSE), "Produto não encontrado")</f>
        <v>ATADURA GESSADA 20cm x 2m, cx com 10 und</v>
      </c>
      <c r="E83" s="92" t="s">
        <v>528</v>
      </c>
      <c r="F83" s="93">
        <v>1.0</v>
      </c>
      <c r="G83" s="7" t="s">
        <v>545</v>
      </c>
      <c r="H83" s="85"/>
      <c r="I83" s="86"/>
      <c r="J83" s="87"/>
      <c r="K83" s="88"/>
    </row>
    <row r="84" ht="26.25" customHeight="1">
      <c r="A84" s="90">
        <v>46125.0</v>
      </c>
      <c r="B84" s="81" t="str">
        <f t="shared" si="1"/>
        <v>2026-04</v>
      </c>
      <c r="C84" s="95">
        <v>2.0008597E8</v>
      </c>
      <c r="D84" s="91" t="str">
        <f>IFERROR(VLOOKUP(C84,produto,2,FALSE), "Produto não encontrado")</f>
        <v>COLA DE CONTATO MULTIUSO DE 2,8KG</v>
      </c>
      <c r="E84" s="92" t="s">
        <v>528</v>
      </c>
      <c r="F84" s="93">
        <v>1.0</v>
      </c>
      <c r="G84" s="7" t="s">
        <v>559</v>
      </c>
      <c r="H84" s="85"/>
      <c r="I84" s="86"/>
      <c r="J84" s="87"/>
      <c r="K84" s="88"/>
    </row>
    <row r="85" ht="26.25" customHeight="1">
      <c r="A85" s="90">
        <v>46125.0</v>
      </c>
      <c r="B85" s="81" t="str">
        <f t="shared" si="1"/>
        <v>2026-04</v>
      </c>
      <c r="C85" s="95">
        <v>2.00036202E8</v>
      </c>
      <c r="D85" s="91" t="str">
        <f>IFERROR(VLOOKUP(C85,produto,2,FALSE), "Produto não encontrado")</f>
        <v>CANETA ESFEROGRAFICA PONTA MEDIA COR AZUL</v>
      </c>
      <c r="E85" s="92" t="s">
        <v>528</v>
      </c>
      <c r="F85" s="93">
        <v>2.0</v>
      </c>
      <c r="G85" s="7" t="s">
        <v>560</v>
      </c>
      <c r="H85" s="85"/>
      <c r="I85" s="86"/>
      <c r="J85" s="87"/>
      <c r="K85" s="88"/>
    </row>
    <row r="86" ht="26.25" customHeight="1">
      <c r="A86" s="90">
        <v>46122.0</v>
      </c>
      <c r="B86" s="81" t="str">
        <f t="shared" si="1"/>
        <v>2026-04</v>
      </c>
      <c r="C86" s="95">
        <v>2.07218574E8</v>
      </c>
      <c r="D86" s="91" t="str">
        <f>IFERROR(VLOOKUP(C86,produto,2,FALSE), "Produto não encontrado")</f>
        <v>LUVA EPI ALGODÃO MALHA PIGMENTADA PRETA</v>
      </c>
      <c r="E86" s="92" t="s">
        <v>526</v>
      </c>
      <c r="F86" s="93">
        <v>8.0</v>
      </c>
      <c r="G86" s="7" t="s">
        <v>561</v>
      </c>
      <c r="H86" s="85"/>
      <c r="I86" s="86"/>
      <c r="J86" s="87"/>
      <c r="K86" s="88"/>
    </row>
    <row r="87" ht="26.25" customHeight="1">
      <c r="A87" s="90">
        <v>46118.0</v>
      </c>
      <c r="B87" s="81" t="str">
        <f t="shared" si="1"/>
        <v>2026-04</v>
      </c>
      <c r="C87" s="95">
        <v>2.00036489E8</v>
      </c>
      <c r="D87" s="91" t="str">
        <f>IFERROR(VLOOKUP(C87,produto,2,FALSE), "Produto não encontrado")</f>
        <v>CLIPS NIQUELADO Nº 1 COM 100 UN</v>
      </c>
      <c r="E87" s="92" t="s">
        <v>526</v>
      </c>
      <c r="F87" s="93">
        <v>2.0</v>
      </c>
      <c r="G87" s="7" t="s">
        <v>557</v>
      </c>
      <c r="H87" s="85"/>
      <c r="I87" s="86"/>
      <c r="J87" s="87"/>
      <c r="K87" s="88"/>
    </row>
    <row r="88" ht="26.25" customHeight="1">
      <c r="A88" s="90">
        <v>46118.0</v>
      </c>
      <c r="B88" s="81" t="str">
        <f t="shared" si="1"/>
        <v>2026-04</v>
      </c>
      <c r="C88" s="95">
        <v>2.00065892E8</v>
      </c>
      <c r="D88" s="91" t="str">
        <f>IFERROR(VLOOKUP(C88,produto,2,FALSE), "Produto não encontrado")</f>
        <v>FITA ISOLANTE 18MMX20M COR PRETA</v>
      </c>
      <c r="E88" s="92" t="s">
        <v>528</v>
      </c>
      <c r="F88" s="93">
        <v>1.0</v>
      </c>
      <c r="G88" s="7" t="s">
        <v>545</v>
      </c>
      <c r="H88" s="85"/>
      <c r="I88" s="86"/>
      <c r="J88" s="87"/>
      <c r="K88" s="88"/>
    </row>
    <row r="89" ht="26.25" customHeight="1">
      <c r="A89" s="90">
        <v>46118.0</v>
      </c>
      <c r="B89" s="81" t="str">
        <f t="shared" si="1"/>
        <v>2026-04</v>
      </c>
      <c r="C89" s="95">
        <v>2.00065892E8</v>
      </c>
      <c r="D89" s="91" t="str">
        <f>IFERROR(VLOOKUP(C89,produto,2,FALSE), "Produto não encontrado")</f>
        <v>FITA ISOLANTE 18MMX20M COR PRETA</v>
      </c>
      <c r="E89" s="92" t="s">
        <v>528</v>
      </c>
      <c r="F89" s="93">
        <v>1.0</v>
      </c>
      <c r="G89" s="7" t="s">
        <v>562</v>
      </c>
      <c r="H89" s="85"/>
      <c r="I89" s="86"/>
      <c r="J89" s="87"/>
      <c r="K89" s="88"/>
    </row>
    <row r="90" ht="26.25" customHeight="1">
      <c r="A90" s="90">
        <v>46118.0</v>
      </c>
      <c r="B90" s="81" t="str">
        <f t="shared" si="1"/>
        <v>2026-04</v>
      </c>
      <c r="C90" s="95">
        <v>2.00066972E8</v>
      </c>
      <c r="D90" s="91" t="str">
        <f>IFERROR(VLOOKUP(C90,produto,2,FALSE), "Produto não encontrado")</f>
        <v>PASTA SANFONADA</v>
      </c>
      <c r="E90" s="92" t="s">
        <v>528</v>
      </c>
      <c r="F90" s="93">
        <v>1.0</v>
      </c>
      <c r="G90" s="7" t="s">
        <v>545</v>
      </c>
      <c r="H90" s="85"/>
      <c r="I90" s="86"/>
      <c r="J90" s="87"/>
      <c r="K90" s="88"/>
    </row>
    <row r="91" ht="26.25" customHeight="1">
      <c r="A91" s="90">
        <v>46118.0</v>
      </c>
      <c r="B91" s="81" t="str">
        <f t="shared" si="1"/>
        <v>2026-04</v>
      </c>
      <c r="C91" s="95">
        <v>2.00066972E8</v>
      </c>
      <c r="D91" s="91" t="str">
        <f>IFERROR(VLOOKUP(C91,produto,2,FALSE), "Produto não encontrado")</f>
        <v>PASTA SANFONADA</v>
      </c>
      <c r="E91" s="92" t="s">
        <v>526</v>
      </c>
      <c r="F91" s="93">
        <v>1.0</v>
      </c>
      <c r="G91" s="7" t="s">
        <v>557</v>
      </c>
      <c r="H91" s="85"/>
      <c r="I91" s="86"/>
      <c r="J91" s="87"/>
      <c r="K91" s="88"/>
    </row>
    <row r="92" ht="26.25" customHeight="1">
      <c r="A92" s="90">
        <v>46118.0</v>
      </c>
      <c r="B92" s="81" t="str">
        <f t="shared" si="1"/>
        <v>2026-04</v>
      </c>
      <c r="C92" s="95">
        <v>2.00065892E8</v>
      </c>
      <c r="D92" s="91" t="str">
        <f>IFERROR(VLOOKUP(C92,produto,2,FALSE), "Produto não encontrado")</f>
        <v>FITA ISOLANTE 18MMX20M COR PRETA</v>
      </c>
      <c r="E92" s="92" t="s">
        <v>526</v>
      </c>
      <c r="F92" s="93">
        <v>3.0</v>
      </c>
      <c r="G92" s="7" t="s">
        <v>557</v>
      </c>
      <c r="H92" s="85"/>
      <c r="I92" s="86"/>
      <c r="J92" s="87"/>
      <c r="K92" s="88"/>
    </row>
    <row r="93" ht="26.25" customHeight="1">
      <c r="A93" s="90">
        <v>46118.0</v>
      </c>
      <c r="B93" s="81" t="str">
        <f t="shared" si="1"/>
        <v>2026-04</v>
      </c>
      <c r="C93" s="95">
        <v>2.00036202E8</v>
      </c>
      <c r="D93" s="91" t="str">
        <f>IFERROR(VLOOKUP(C93,produto,2,FALSE), "Produto não encontrado")</f>
        <v>CANETA ESFEROGRAFICA PONTA MEDIA COR AZUL</v>
      </c>
      <c r="E93" s="92" t="s">
        <v>526</v>
      </c>
      <c r="F93" s="93">
        <v>10.0</v>
      </c>
      <c r="G93" s="7" t="s">
        <v>557</v>
      </c>
      <c r="H93" s="85"/>
      <c r="I93" s="86"/>
      <c r="J93" s="87"/>
      <c r="K93" s="88"/>
    </row>
    <row r="94" ht="26.25" customHeight="1">
      <c r="A94" s="90">
        <v>46118.0</v>
      </c>
      <c r="B94" s="81" t="str">
        <f t="shared" si="1"/>
        <v>2026-04</v>
      </c>
      <c r="C94" s="95">
        <v>2.00036189E8</v>
      </c>
      <c r="D94" s="91" t="str">
        <f>IFERROR(VLOOKUP(C94,produto,2,FALSE), "Produto não encontrado")</f>
        <v>COPO DESCARTAVEL 180ML</v>
      </c>
      <c r="E94" s="92" t="s">
        <v>526</v>
      </c>
      <c r="F94" s="93">
        <v>2.0</v>
      </c>
      <c r="G94" s="7" t="s">
        <v>557</v>
      </c>
      <c r="H94" s="85"/>
      <c r="I94" s="86"/>
      <c r="J94" s="87"/>
      <c r="K94" s="88"/>
    </row>
    <row r="95" ht="26.25" customHeight="1">
      <c r="A95" s="90">
        <v>46118.0</v>
      </c>
      <c r="B95" s="81" t="str">
        <f t="shared" si="1"/>
        <v>2026-04</v>
      </c>
      <c r="C95" s="95">
        <v>2.00033068E8</v>
      </c>
      <c r="D95" s="91" t="str">
        <f>IFERROR(VLOOKUP(C95,produto,2,FALSE), "Produto não encontrado")</f>
        <v> PAPEL SULFITE A4 210 X 297MM 75G BRANCO MULTIUSO PACOTE COM 500 FLS</v>
      </c>
      <c r="E95" s="92" t="s">
        <v>526</v>
      </c>
      <c r="F95" s="93">
        <v>4.0</v>
      </c>
      <c r="G95" s="7" t="s">
        <v>557</v>
      </c>
      <c r="H95" s="85"/>
      <c r="I95" s="86"/>
      <c r="J95" s="87"/>
      <c r="K95" s="88"/>
    </row>
    <row r="96" ht="26.25" customHeight="1">
      <c r="A96" s="90">
        <v>46118.0</v>
      </c>
      <c r="B96" s="81" t="str">
        <f t="shared" si="1"/>
        <v>2026-04</v>
      </c>
      <c r="C96" s="95">
        <v>2.00031692E8</v>
      </c>
      <c r="D96" s="91" t="str">
        <f>IFERROR(VLOOKUP(C96,produto,2,FALSE), "Produto não encontrado")</f>
        <v> CANETA PARA RETROPROJETOR FINA</v>
      </c>
      <c r="E96" s="92" t="s">
        <v>526</v>
      </c>
      <c r="F96" s="93">
        <v>2.0</v>
      </c>
      <c r="G96" s="7" t="s">
        <v>557</v>
      </c>
      <c r="H96" s="85"/>
      <c r="I96" s="86"/>
      <c r="J96" s="87"/>
      <c r="K96" s="88"/>
    </row>
    <row r="97" ht="26.25" customHeight="1">
      <c r="A97" s="90">
        <v>46125.0</v>
      </c>
      <c r="B97" s="81" t="str">
        <f t="shared" si="1"/>
        <v>2026-04</v>
      </c>
      <c r="C97" s="95">
        <v>1.2121811E8</v>
      </c>
      <c r="D97" s="91" t="str">
        <f>IFERROR(VLOOKUP(C97,produto,2,FALSE), "Produto não encontrado")</f>
        <v>MOLDE DE ESPUMA UNICO/UNICO</v>
      </c>
      <c r="E97" s="92" t="s">
        <v>526</v>
      </c>
      <c r="F97" s="93">
        <v>100.0</v>
      </c>
      <c r="G97" s="7" t="s">
        <v>341</v>
      </c>
      <c r="H97" s="85"/>
      <c r="I97" s="86"/>
      <c r="J97" s="87"/>
      <c r="K97" s="88"/>
    </row>
    <row r="98" ht="26.25" customHeight="1">
      <c r="A98" s="90">
        <v>46125.0</v>
      </c>
      <c r="B98" s="81" t="str">
        <f t="shared" si="1"/>
        <v>2026-04</v>
      </c>
      <c r="C98" s="96" t="s">
        <v>329</v>
      </c>
      <c r="D98" s="91" t="str">
        <f>IFERROR(VLOOKUP(C98,produto,2,FALSE), "Produto não encontrado")</f>
        <v>ESTOFAMENTO DE ASSENTO</v>
      </c>
      <c r="E98" s="92" t="s">
        <v>526</v>
      </c>
      <c r="F98" s="93">
        <v>28.0</v>
      </c>
      <c r="G98" s="7" t="s">
        <v>241</v>
      </c>
      <c r="H98" s="85"/>
      <c r="I98" s="86"/>
      <c r="J98" s="87"/>
      <c r="K98" s="88"/>
    </row>
    <row r="99" ht="26.25" customHeight="1">
      <c r="A99" s="90">
        <v>46125.0</v>
      </c>
      <c r="B99" s="81" t="str">
        <f t="shared" si="1"/>
        <v>2026-04</v>
      </c>
      <c r="C99" s="96" t="s">
        <v>332</v>
      </c>
      <c r="D99" s="91" t="str">
        <f>IFERROR(VLOOKUP(C99,produto,2,FALSE), "Produto não encontrado")</f>
        <v>ESTOFAMENTO DE ENCOSTO</v>
      </c>
      <c r="E99" s="92" t="s">
        <v>526</v>
      </c>
      <c r="F99" s="93">
        <v>32.0</v>
      </c>
      <c r="G99" s="7" t="s">
        <v>241</v>
      </c>
      <c r="H99" s="85"/>
      <c r="I99" s="86"/>
      <c r="J99" s="87"/>
      <c r="K99" s="88"/>
    </row>
    <row r="100" ht="26.25" customHeight="1">
      <c r="A100" s="90">
        <v>46122.0</v>
      </c>
      <c r="B100" s="81" t="str">
        <f t="shared" si="1"/>
        <v>2026-04</v>
      </c>
      <c r="C100" s="100">
        <v>2.00000096E8</v>
      </c>
      <c r="D100" s="91" t="str">
        <f>IFERROR(VLOOKUP(C100,produto,2,FALSE), "Produto não encontrado")</f>
        <v>RESINA RIGIDA PARA LAMINAÇÃO</v>
      </c>
      <c r="E100" s="92" t="s">
        <v>526</v>
      </c>
      <c r="F100" s="93">
        <v>2.0</v>
      </c>
      <c r="G100" s="7" t="s">
        <v>374</v>
      </c>
      <c r="H100" s="85"/>
      <c r="I100" s="86"/>
      <c r="J100" s="87"/>
      <c r="K100" s="88"/>
    </row>
    <row r="101" ht="26.25" customHeight="1">
      <c r="A101" s="90">
        <v>46122.0</v>
      </c>
      <c r="B101" s="81" t="str">
        <f t="shared" si="1"/>
        <v>2026-04</v>
      </c>
      <c r="C101" s="100">
        <v>2.00000095E8</v>
      </c>
      <c r="D101" s="91" t="str">
        <f>IFERROR(VLOOKUP(C101,produto,2,FALSE), "Produto não encontrado")</f>
        <v>ENDURECEDOR PARA RESINA</v>
      </c>
      <c r="E101" s="92" t="s">
        <v>526</v>
      </c>
      <c r="F101" s="93">
        <v>2.0</v>
      </c>
      <c r="G101" s="7" t="s">
        <v>374</v>
      </c>
      <c r="H101" s="85"/>
      <c r="I101" s="86"/>
      <c r="J101" s="87"/>
      <c r="K101" s="88"/>
    </row>
    <row r="102" ht="26.25" customHeight="1">
      <c r="A102" s="90">
        <v>46122.0</v>
      </c>
      <c r="B102" s="81" t="str">
        <f t="shared" si="1"/>
        <v>2026-04</v>
      </c>
      <c r="C102" s="100">
        <v>2.00000094E8</v>
      </c>
      <c r="D102" s="91" t="str">
        <f>IFERROR(VLOOKUP(C102,produto,2,FALSE), "Produto não encontrado")</f>
        <v>CONE DE PVC PARA LAMINAÇÃO (P)</v>
      </c>
      <c r="E102" s="92" t="s">
        <v>526</v>
      </c>
      <c r="F102" s="93">
        <v>10.0</v>
      </c>
      <c r="G102" s="7" t="s">
        <v>374</v>
      </c>
      <c r="H102" s="85"/>
      <c r="I102" s="86"/>
      <c r="J102" s="87"/>
      <c r="K102" s="88"/>
    </row>
    <row r="103" ht="26.25" customHeight="1">
      <c r="A103" s="90">
        <v>46122.0</v>
      </c>
      <c r="B103" s="81" t="str">
        <f t="shared" si="1"/>
        <v>2026-04</v>
      </c>
      <c r="C103" s="100">
        <v>2.00000093E8</v>
      </c>
      <c r="D103" s="91" t="str">
        <f>IFERROR(VLOOKUP(C103,produto,2,FALSE), "Produto não encontrado")</f>
        <v>CONE DE PVC PARA LAMINAÇÃO (M)</v>
      </c>
      <c r="E103" s="92" t="s">
        <v>526</v>
      </c>
      <c r="F103" s="93">
        <v>10.0</v>
      </c>
      <c r="G103" s="7" t="s">
        <v>374</v>
      </c>
      <c r="H103" s="85"/>
      <c r="I103" s="86"/>
      <c r="J103" s="87"/>
      <c r="K103" s="88"/>
    </row>
    <row r="104" ht="26.25" customHeight="1">
      <c r="A104" s="90">
        <v>46122.0</v>
      </c>
      <c r="B104" s="81" t="str">
        <f t="shared" si="1"/>
        <v>2026-04</v>
      </c>
      <c r="C104" s="100">
        <v>2.00000092E8</v>
      </c>
      <c r="D104" s="91" t="str">
        <f>IFERROR(VLOOKUP(C104,produto,2,FALSE), "Produto não encontrado")</f>
        <v>CONE DE PVC PARA LAMINAÇÃO (G)</v>
      </c>
      <c r="E104" s="92" t="s">
        <v>526</v>
      </c>
      <c r="F104" s="93">
        <v>10.0</v>
      </c>
      <c r="G104" s="7" t="s">
        <v>374</v>
      </c>
      <c r="H104" s="85"/>
      <c r="I104" s="86"/>
      <c r="J104" s="87"/>
      <c r="K104" s="88"/>
    </row>
    <row r="105" ht="26.25" customHeight="1">
      <c r="A105" s="90">
        <v>46122.0</v>
      </c>
      <c r="B105" s="81" t="str">
        <f t="shared" si="1"/>
        <v>2026-04</v>
      </c>
      <c r="C105" s="100">
        <v>2.00000091E8</v>
      </c>
      <c r="D105" s="91" t="str">
        <f>IFERROR(VLOOKUP(C105,produto,2,FALSE), "Produto não encontrado")</f>
        <v>(MTA-20)MALHA ORTOPEDICA TUBULAR EM FIO DE ALGODÃO 20cm</v>
      </c>
      <c r="E105" s="92" t="s">
        <v>526</v>
      </c>
      <c r="F105" s="93">
        <v>2.0</v>
      </c>
      <c r="G105" s="7" t="s">
        <v>374</v>
      </c>
      <c r="H105" s="85"/>
      <c r="I105" s="86"/>
      <c r="J105" s="87"/>
      <c r="K105" s="88"/>
    </row>
    <row r="106" ht="26.25" customHeight="1">
      <c r="A106" s="90">
        <v>46122.0</v>
      </c>
      <c r="B106" s="81" t="str">
        <f t="shared" si="1"/>
        <v>2026-04</v>
      </c>
      <c r="C106" s="100">
        <v>2.0000009E8</v>
      </c>
      <c r="D106" s="91" t="str">
        <f>IFERROR(VLOOKUP(C106,produto,2,FALSE), "Produto não encontrado")</f>
        <v>(MTA-15)MALHA ORTOPEDICA TUBULAR EM FIO DE ALGODÃO 15cm</v>
      </c>
      <c r="E106" s="92" t="s">
        <v>526</v>
      </c>
      <c r="F106" s="93">
        <v>4.0</v>
      </c>
      <c r="G106" s="7" t="s">
        <v>374</v>
      </c>
      <c r="H106" s="85"/>
      <c r="I106" s="86"/>
      <c r="J106" s="87"/>
      <c r="K106" s="88"/>
    </row>
    <row r="107" ht="26.25" customHeight="1">
      <c r="A107" s="90">
        <v>46122.0</v>
      </c>
      <c r="B107" s="81" t="str">
        <f t="shared" si="1"/>
        <v>2026-04</v>
      </c>
      <c r="C107" s="100">
        <v>2.00000089E8</v>
      </c>
      <c r="D107" s="91" t="str">
        <f>IFERROR(VLOOKUP(C107,produto,2,FALSE), "Produto não encontrado")</f>
        <v>(MTA-10)MALHA ORTOPEDICA TUBULAR EM FIO DE ALGODÃO 10cm</v>
      </c>
      <c r="E107" s="92" t="s">
        <v>526</v>
      </c>
      <c r="F107" s="93">
        <v>20.0</v>
      </c>
      <c r="G107" s="7" t="s">
        <v>374</v>
      </c>
      <c r="H107" s="85"/>
      <c r="I107" s="86"/>
      <c r="J107" s="87"/>
      <c r="K107" s="88"/>
    </row>
    <row r="108" ht="26.25" customHeight="1">
      <c r="A108" s="90">
        <v>46122.0</v>
      </c>
      <c r="B108" s="81" t="str">
        <f t="shared" si="1"/>
        <v>2026-04</v>
      </c>
      <c r="C108" s="100">
        <v>2.00000086E8</v>
      </c>
      <c r="D108" s="91" t="str">
        <f>IFERROR(VLOOKUP(C108,produto,2,FALSE), "Produto não encontrado")</f>
        <v>(MTP-6)MALHA TUBULAR POLIESTER 6CM</v>
      </c>
      <c r="E108" s="92" t="s">
        <v>526</v>
      </c>
      <c r="F108" s="93">
        <v>5.0</v>
      </c>
      <c r="G108" s="7" t="s">
        <v>374</v>
      </c>
      <c r="H108" s="85"/>
      <c r="I108" s="86"/>
      <c r="J108" s="87"/>
      <c r="K108" s="88"/>
    </row>
    <row r="109" ht="26.25" customHeight="1">
      <c r="A109" s="90">
        <v>46122.0</v>
      </c>
      <c r="B109" s="81" t="str">
        <f t="shared" si="1"/>
        <v>2026-04</v>
      </c>
      <c r="C109" s="100">
        <v>2.00000087E8</v>
      </c>
      <c r="D109" s="91" t="str">
        <f>IFERROR(VLOOKUP(C109,produto,2,FALSE), "Produto não encontrado")</f>
        <v>(MTP-8)MALHA TUBULAR POLIESTER 8CM</v>
      </c>
      <c r="E109" s="92" t="s">
        <v>526</v>
      </c>
      <c r="F109" s="93">
        <v>5.0</v>
      </c>
      <c r="G109" s="7" t="s">
        <v>374</v>
      </c>
      <c r="H109" s="85"/>
      <c r="I109" s="86"/>
      <c r="J109" s="87"/>
      <c r="K109" s="88"/>
    </row>
    <row r="110" ht="26.25" customHeight="1">
      <c r="A110" s="90">
        <v>46122.0</v>
      </c>
      <c r="B110" s="81" t="str">
        <f t="shared" si="1"/>
        <v>2026-04</v>
      </c>
      <c r="C110" s="100">
        <v>2.00000088E8</v>
      </c>
      <c r="D110" s="91" t="str">
        <f>IFERROR(VLOOKUP(C110,produto,2,FALSE), "Produto não encontrado")</f>
        <v>(MTP-10)MALHA ORTOPEDICA TUBULAR 10CM</v>
      </c>
      <c r="E110" s="92" t="s">
        <v>526</v>
      </c>
      <c r="F110" s="93">
        <v>5.0</v>
      </c>
      <c r="G110" s="7" t="s">
        <v>374</v>
      </c>
      <c r="H110" s="85"/>
      <c r="I110" s="86"/>
      <c r="J110" s="87"/>
      <c r="K110" s="88"/>
    </row>
    <row r="111" ht="26.25" customHeight="1">
      <c r="A111" s="90">
        <v>46122.0</v>
      </c>
      <c r="B111" s="81" t="str">
        <f t="shared" si="1"/>
        <v>2026-04</v>
      </c>
      <c r="C111" s="100">
        <v>2.00000085E8</v>
      </c>
      <c r="D111" s="91" t="str">
        <f>IFERROR(VLOOKUP(C111,produto,2,FALSE), "Produto não encontrado")</f>
        <v>(MTP-15)MALHA ORTOPEDICA TUBULAR 15CM</v>
      </c>
      <c r="E111" s="92" t="s">
        <v>526</v>
      </c>
      <c r="F111" s="93">
        <v>5.0</v>
      </c>
      <c r="G111" s="7" t="s">
        <v>374</v>
      </c>
      <c r="H111" s="85"/>
      <c r="I111" s="86"/>
      <c r="J111" s="87"/>
      <c r="K111" s="88"/>
    </row>
    <row r="112" ht="26.25" customHeight="1">
      <c r="A112" s="90">
        <v>46122.0</v>
      </c>
      <c r="B112" s="81" t="str">
        <f t="shared" si="1"/>
        <v>2026-04</v>
      </c>
      <c r="C112" s="100">
        <v>2.00000084E8</v>
      </c>
      <c r="D112" s="91" t="str">
        <f>IFERROR(VLOOKUP(C112,produto,2,FALSE), "Produto não encontrado")</f>
        <v>(MTP-20)MALHA TUBULAR POLIESTER 20CM</v>
      </c>
      <c r="E112" s="92" t="s">
        <v>526</v>
      </c>
      <c r="F112" s="93">
        <v>5.0</v>
      </c>
      <c r="G112" s="7" t="s">
        <v>374</v>
      </c>
      <c r="H112" s="85"/>
      <c r="I112" s="86"/>
      <c r="J112" s="87"/>
      <c r="K112" s="88"/>
    </row>
    <row r="113" ht="26.25" customHeight="1">
      <c r="A113" s="90">
        <v>46122.0</v>
      </c>
      <c r="B113" s="81" t="str">
        <f t="shared" si="1"/>
        <v>2026-04</v>
      </c>
      <c r="C113" s="100">
        <v>2.00000083E8</v>
      </c>
      <c r="D113" s="91" t="str">
        <f>IFERROR(VLOOKUP(C113,produto,2,FALSE), "Produto não encontrado")</f>
        <v>MANTA FIBRA DE VIDRO</v>
      </c>
      <c r="E113" s="92" t="s">
        <v>526</v>
      </c>
      <c r="F113" s="93">
        <v>20.0</v>
      </c>
      <c r="G113" s="7" t="s">
        <v>374</v>
      </c>
      <c r="H113" s="85"/>
      <c r="I113" s="86"/>
      <c r="J113" s="87"/>
      <c r="K113" s="88"/>
    </row>
    <row r="114" ht="26.25" customHeight="1">
      <c r="A114" s="90">
        <v>46122.0</v>
      </c>
      <c r="B114" s="81" t="str">
        <f t="shared" si="1"/>
        <v>2026-04</v>
      </c>
      <c r="C114" s="100">
        <v>2.00000082E8</v>
      </c>
      <c r="D114" s="91" t="str">
        <f>IFERROR(VLOOKUP(C114,produto,2,FALSE), "Produto não encontrado")</f>
        <v>VALVULA DE SUCÇÃO EM BORRACHA</v>
      </c>
      <c r="E114" s="92" t="s">
        <v>526</v>
      </c>
      <c r="F114" s="93">
        <v>10.0</v>
      </c>
      <c r="G114" s="7" t="s">
        <v>374</v>
      </c>
      <c r="H114" s="85"/>
      <c r="I114" s="86"/>
      <c r="J114" s="87"/>
      <c r="K114" s="88"/>
    </row>
    <row r="115" ht="26.25" customHeight="1">
      <c r="A115" s="90">
        <v>46122.0</v>
      </c>
      <c r="B115" s="81" t="str">
        <f t="shared" si="1"/>
        <v>2026-04</v>
      </c>
      <c r="C115" s="100">
        <v>2.00000081E8</v>
      </c>
      <c r="D115" s="91" t="str">
        <f>IFERROR(VLOOKUP(C115,produto,2,FALSE), "Produto não encontrado")</f>
        <v>ATADURA GESSADA 20cm x 2m, cx com 10 und</v>
      </c>
      <c r="E115" s="92" t="s">
        <v>526</v>
      </c>
      <c r="F115" s="93">
        <v>5.0</v>
      </c>
      <c r="G115" s="7" t="s">
        <v>374</v>
      </c>
      <c r="H115" s="85"/>
      <c r="I115" s="86"/>
      <c r="J115" s="87"/>
      <c r="K115" s="88"/>
    </row>
    <row r="116" ht="26.25" customHeight="1">
      <c r="A116" s="90">
        <v>46122.0</v>
      </c>
      <c r="B116" s="81" t="str">
        <f t="shared" si="1"/>
        <v>2026-04</v>
      </c>
      <c r="C116" s="100">
        <v>2.0000008E8</v>
      </c>
      <c r="D116" s="91" t="str">
        <f>IFERROR(VLOOKUP(C116,produto,2,FALSE), "Produto não encontrado")</f>
        <v>ATADURA GESSADA 15cm x 2m, cx com 10 und</v>
      </c>
      <c r="E116" s="92" t="s">
        <v>526</v>
      </c>
      <c r="F116" s="93">
        <v>3.0</v>
      </c>
      <c r="G116" s="7" t="s">
        <v>374</v>
      </c>
      <c r="H116" s="85"/>
      <c r="I116" s="86"/>
      <c r="J116" s="87"/>
      <c r="K116" s="88"/>
    </row>
    <row r="117" ht="26.25" customHeight="1">
      <c r="A117" s="90">
        <v>46121.0</v>
      </c>
      <c r="B117" s="81" t="str">
        <f t="shared" si="1"/>
        <v>2026-04</v>
      </c>
      <c r="C117" s="95">
        <v>2.00000045E8</v>
      </c>
      <c r="D117" s="91" t="str">
        <f>IFERROR(VLOOKUP(C117,produto,2,FALSE), "Produto não encontrado")</f>
        <v>Malha Tubular de Algodão 10cm x 15m</v>
      </c>
      <c r="E117" s="92" t="s">
        <v>528</v>
      </c>
      <c r="F117" s="93">
        <v>1.0</v>
      </c>
      <c r="G117" s="101" t="s">
        <v>563</v>
      </c>
      <c r="H117" s="85"/>
      <c r="I117" s="86"/>
      <c r="J117" s="87"/>
      <c r="K117" s="88"/>
    </row>
    <row r="118" ht="26.25" customHeight="1">
      <c r="A118" s="90">
        <v>46121.0</v>
      </c>
      <c r="B118" s="81" t="str">
        <f t="shared" si="1"/>
        <v>2026-04</v>
      </c>
      <c r="C118" s="96" t="s">
        <v>324</v>
      </c>
      <c r="D118" s="91" t="str">
        <f>IFERROR(VLOOKUP(C118,produto,2,FALSE), "Produto não encontrado")</f>
        <v>CJ APOIO CABECA INJETADO P/ ESTICADOR</v>
      </c>
      <c r="E118" s="92" t="s">
        <v>526</v>
      </c>
      <c r="F118" s="93">
        <v>19.0</v>
      </c>
      <c r="G118" s="101" t="s">
        <v>553</v>
      </c>
      <c r="H118" s="85"/>
      <c r="I118" s="86"/>
      <c r="J118" s="87"/>
      <c r="K118" s="88"/>
    </row>
    <row r="119" ht="26.25" customHeight="1">
      <c r="A119" s="90">
        <v>46121.0</v>
      </c>
      <c r="B119" s="81" t="str">
        <f t="shared" si="1"/>
        <v>2026-04</v>
      </c>
      <c r="C119" s="96" t="s">
        <v>327</v>
      </c>
      <c r="D119" s="91" t="str">
        <f>IFERROR(VLOOKUP(C119,produto,2,FALSE), "Produto não encontrado")</f>
        <v>CJ APOIO CABECA L33 AI</v>
      </c>
      <c r="E119" s="92" t="s">
        <v>526</v>
      </c>
      <c r="F119" s="93">
        <v>1.0</v>
      </c>
      <c r="G119" s="101" t="s">
        <v>553</v>
      </c>
      <c r="H119" s="85"/>
      <c r="I119" s="86"/>
      <c r="J119" s="87"/>
      <c r="K119" s="88"/>
    </row>
    <row r="120" ht="26.25" customHeight="1">
      <c r="A120" s="90">
        <v>46121.0</v>
      </c>
      <c r="B120" s="81" t="str">
        <f t="shared" si="1"/>
        <v>2026-04</v>
      </c>
      <c r="C120" s="96" t="s">
        <v>316</v>
      </c>
      <c r="D120" s="91" t="str">
        <f>IFERROR(VLOOKUP(C120,produto,2,FALSE), "Produto não encontrado")</f>
        <v>CJ PEDAL ADULTO DIR/ESQ K2/K3 (PAR)</v>
      </c>
      <c r="E120" s="92" t="s">
        <v>526</v>
      </c>
      <c r="F120" s="93">
        <v>5.0</v>
      </c>
      <c r="G120" s="101" t="s">
        <v>553</v>
      </c>
      <c r="H120" s="85"/>
      <c r="I120" s="86"/>
      <c r="J120" s="87"/>
      <c r="K120" s="88"/>
    </row>
    <row r="121" ht="26.25" customHeight="1">
      <c r="A121" s="90">
        <v>46121.0</v>
      </c>
      <c r="B121" s="81" t="str">
        <f t="shared" si="1"/>
        <v>2026-04</v>
      </c>
      <c r="C121" s="96" t="s">
        <v>319</v>
      </c>
      <c r="D121" s="91" t="str">
        <f>IFERROR(VLOOKUP(C121,produto,2,FALSE), "Produto não encontrado")</f>
        <v>CJ PEDAL DIR/ESQ INFANTIL K2/K3 (PAR)</v>
      </c>
      <c r="E121" s="92" t="s">
        <v>526</v>
      </c>
      <c r="F121" s="93">
        <v>3.0</v>
      </c>
      <c r="G121" s="101" t="s">
        <v>553</v>
      </c>
      <c r="H121" s="85"/>
      <c r="I121" s="86"/>
      <c r="J121" s="87"/>
      <c r="K121" s="88"/>
    </row>
    <row r="122" ht="26.25" customHeight="1">
      <c r="A122" s="90">
        <v>46121.0</v>
      </c>
      <c r="B122" s="81" t="str">
        <f t="shared" si="1"/>
        <v>2026-04</v>
      </c>
      <c r="C122" s="102" t="s">
        <v>313</v>
      </c>
      <c r="D122" s="91" t="str">
        <f>IFERROR(VLOOKUP(C122,produto,2,FALSE), "Produto não encontrado")</f>
        <v>CJ ESTICADOR ENCOSTO APOIO CABECA L36/L40/L44</v>
      </c>
      <c r="E122" s="92" t="s">
        <v>526</v>
      </c>
      <c r="F122" s="93">
        <v>19.0</v>
      </c>
      <c r="G122" s="101" t="s">
        <v>553</v>
      </c>
      <c r="H122" s="85"/>
      <c r="I122" s="86"/>
      <c r="J122" s="87"/>
      <c r="K122" s="88"/>
    </row>
    <row r="123" ht="26.25" customHeight="1">
      <c r="A123" s="90">
        <v>46121.0</v>
      </c>
      <c r="B123" s="81" t="str">
        <f t="shared" si="1"/>
        <v>2026-04</v>
      </c>
      <c r="C123" s="102" t="s">
        <v>311</v>
      </c>
      <c r="D123" s="91" t="str">
        <f>IFERROR(VLOOKUP(C123,produto,2,FALSE), "Produto não encontrado")</f>
        <v>CJ PEDAL ELEVAVEL L30 MINIK V2</v>
      </c>
      <c r="E123" s="92" t="s">
        <v>526</v>
      </c>
      <c r="F123" s="93">
        <v>2.0</v>
      </c>
      <c r="G123" s="101" t="s">
        <v>553</v>
      </c>
      <c r="H123" s="85"/>
      <c r="I123" s="86"/>
      <c r="J123" s="87"/>
      <c r="K123" s="88"/>
    </row>
    <row r="124" ht="26.25" customHeight="1">
      <c r="A124" s="90">
        <v>46121.0</v>
      </c>
      <c r="B124" s="81" t="str">
        <f t="shared" si="1"/>
        <v>2026-04</v>
      </c>
      <c r="C124" s="103">
        <v>4.99009237E8</v>
      </c>
      <c r="D124" s="91" t="str">
        <f>IFERROR(VLOOKUP(C124,produto,2,FALSE), "Produto não encontrado")</f>
        <v>CAPA APOIO CABECA PRETO RT/FT</v>
      </c>
      <c r="E124" s="92" t="s">
        <v>526</v>
      </c>
      <c r="F124" s="93">
        <v>20.0</v>
      </c>
      <c r="G124" s="101" t="s">
        <v>553</v>
      </c>
      <c r="H124" s="85"/>
      <c r="I124" s="86"/>
      <c r="J124" s="87"/>
      <c r="K124" s="88"/>
    </row>
    <row r="125" ht="26.25" customHeight="1">
      <c r="A125" s="90">
        <v>46120.0</v>
      </c>
      <c r="B125" s="81" t="str">
        <f t="shared" si="1"/>
        <v>2026-04</v>
      </c>
      <c r="C125" s="103">
        <v>4.9902013E8</v>
      </c>
      <c r="D125" s="91" t="str">
        <f>IFERROR(VLOOKUP(C125,produto,2,FALSE), "Produto não encontrado")</f>
        <v>CONJUNTO ADEQUAÇÃO POSTURAL</v>
      </c>
      <c r="E125" s="92" t="s">
        <v>526</v>
      </c>
      <c r="F125" s="93">
        <v>80.0</v>
      </c>
      <c r="G125" s="101" t="s">
        <v>553</v>
      </c>
      <c r="H125" s="85"/>
      <c r="I125" s="86"/>
      <c r="J125" s="87"/>
      <c r="K125" s="88"/>
    </row>
    <row r="126" ht="26.25" customHeight="1">
      <c r="A126" s="90">
        <v>46119.0</v>
      </c>
      <c r="B126" s="81" t="str">
        <f t="shared" si="1"/>
        <v>2026-04</v>
      </c>
      <c r="C126" s="103">
        <v>4.99002089E8</v>
      </c>
      <c r="D126" s="91" t="str">
        <f>IFERROR(VLOOKUP(C126,produto,2,FALSE), "Produto não encontrado")</f>
        <v>CJ P/ FIXAR SEPARADOR PERNAS AR/VD</v>
      </c>
      <c r="E126" s="92" t="s">
        <v>526</v>
      </c>
      <c r="F126" s="93">
        <v>29.0</v>
      </c>
      <c r="G126" s="101" t="s">
        <v>553</v>
      </c>
      <c r="H126" s="85"/>
      <c r="I126" s="86"/>
      <c r="J126" s="87"/>
      <c r="K126" s="88"/>
    </row>
    <row r="127" ht="26.25" customHeight="1">
      <c r="A127" s="90">
        <v>46119.0</v>
      </c>
      <c r="B127" s="81" t="str">
        <f t="shared" si="1"/>
        <v>2026-04</v>
      </c>
      <c r="C127" s="103">
        <v>4.9902013E8</v>
      </c>
      <c r="D127" s="91" t="str">
        <f>IFERROR(VLOOKUP(C127,produto,2,FALSE), "Produto não encontrado")</f>
        <v>CONJUNTO ADEQUAÇÃO POSTURAL</v>
      </c>
      <c r="E127" s="92" t="s">
        <v>526</v>
      </c>
      <c r="F127" s="93">
        <v>12.0</v>
      </c>
      <c r="G127" s="101" t="s">
        <v>553</v>
      </c>
      <c r="H127" s="85"/>
      <c r="I127" s="86"/>
      <c r="J127" s="87"/>
      <c r="K127" s="88"/>
    </row>
    <row r="128" ht="26.25" customHeight="1">
      <c r="A128" s="90">
        <v>46119.0</v>
      </c>
      <c r="B128" s="81" t="str">
        <f t="shared" si="1"/>
        <v>2026-04</v>
      </c>
      <c r="C128" s="103">
        <v>2.00046152E8</v>
      </c>
      <c r="D128" s="91" t="str">
        <f>IFERROR(VLOOKUP(C128,produto,2,FALSE), "Produto não encontrado")</f>
        <v>MESA DE ATIVIDADES PARA CADEIRA DE RODAS</v>
      </c>
      <c r="E128" s="92" t="s">
        <v>526</v>
      </c>
      <c r="F128" s="93">
        <v>53.0</v>
      </c>
      <c r="G128" s="101" t="s">
        <v>553</v>
      </c>
      <c r="H128" s="85"/>
      <c r="I128" s="86"/>
      <c r="J128" s="87"/>
      <c r="K128" s="88"/>
    </row>
    <row r="129" ht="26.25" customHeight="1">
      <c r="A129" s="90">
        <v>46119.0</v>
      </c>
      <c r="B129" s="81" t="str">
        <f t="shared" si="1"/>
        <v>2026-04</v>
      </c>
      <c r="C129" s="104" t="s">
        <v>206</v>
      </c>
      <c r="D129" s="91" t="str">
        <f>IFERROR(VLOOKUP(C129,produto,2,FALSE), "Produto não encontrado")</f>
        <v>PLACA TERMOPLASTICA - ORFIT ECO BLACK NS 45 x 60cm x 3.2mm MINI Perforated</v>
      </c>
      <c r="E129" s="92" t="s">
        <v>528</v>
      </c>
      <c r="F129" s="93">
        <v>4.0</v>
      </c>
      <c r="G129" s="101"/>
      <c r="H129" s="85"/>
      <c r="I129" s="86"/>
      <c r="J129" s="87"/>
      <c r="K129" s="88"/>
    </row>
    <row r="130" ht="26.25" customHeight="1">
      <c r="A130" s="90">
        <v>46119.0</v>
      </c>
      <c r="B130" s="81" t="str">
        <f t="shared" si="1"/>
        <v>2026-04</v>
      </c>
      <c r="C130" s="100">
        <v>2.00056827E8</v>
      </c>
      <c r="D130" s="91" t="str">
        <f>IFERROR(VLOOKUP(C130,produto,2,FALSE), "Produto não encontrado")</f>
        <v>BORRACHA ESCOLAR BRANCA 34X23X8</v>
      </c>
      <c r="E130" s="92" t="s">
        <v>528</v>
      </c>
      <c r="F130" s="93">
        <v>3.0</v>
      </c>
      <c r="G130" s="101" t="s">
        <v>553</v>
      </c>
      <c r="H130" s="85"/>
      <c r="I130" s="86"/>
      <c r="J130" s="87"/>
      <c r="K130" s="88"/>
    </row>
    <row r="131" ht="26.25" customHeight="1">
      <c r="A131" s="90">
        <v>46119.0</v>
      </c>
      <c r="B131" s="81" t="str">
        <f t="shared" si="1"/>
        <v>2026-04</v>
      </c>
      <c r="C131" s="100">
        <v>2.00066236E8</v>
      </c>
      <c r="D131" s="91" t="str">
        <f>IFERROR(VLOOKUP(C131,produto,2,FALSE), "Produto não encontrado")</f>
        <v>ENVELOPE MADEIRA A4 240 X 340MM 80G</v>
      </c>
      <c r="E131" s="92" t="s">
        <v>528</v>
      </c>
      <c r="F131" s="93">
        <v>5.0</v>
      </c>
      <c r="G131" s="101" t="s">
        <v>564</v>
      </c>
      <c r="H131" s="85"/>
      <c r="I131" s="86"/>
      <c r="J131" s="87"/>
      <c r="K131" s="88"/>
    </row>
    <row r="132" ht="26.25" customHeight="1">
      <c r="A132" s="90">
        <v>46119.0</v>
      </c>
      <c r="B132" s="81" t="str">
        <f t="shared" si="1"/>
        <v>2026-04</v>
      </c>
      <c r="C132" s="105" t="s">
        <v>514</v>
      </c>
      <c r="D132" s="91" t="str">
        <f>IFERROR(VLOOKUP(C132,produto,2,FALSE), "Produto não encontrado")</f>
        <v>TESOURA USO GERAL 8,0</v>
      </c>
      <c r="E132" s="92" t="s">
        <v>528</v>
      </c>
      <c r="F132" s="93">
        <v>1.0</v>
      </c>
      <c r="G132" s="101" t="s">
        <v>553</v>
      </c>
      <c r="H132" s="85"/>
      <c r="I132" s="86"/>
      <c r="J132" s="87"/>
      <c r="K132" s="88"/>
    </row>
    <row r="133" ht="26.25" customHeight="1">
      <c r="A133" s="90">
        <v>46119.0</v>
      </c>
      <c r="B133" s="81" t="str">
        <f t="shared" si="1"/>
        <v>2026-04</v>
      </c>
      <c r="C133" s="103">
        <v>2.00000028E8</v>
      </c>
      <c r="D133" s="91" t="str">
        <f>IFERROR(VLOOKUP(C133,produto,2,FALSE), "Produto não encontrado")</f>
        <v>Tesoura Tecelão Industrial Reta 1801 Practical 4" Mundial</v>
      </c>
      <c r="E133" s="92" t="s">
        <v>528</v>
      </c>
      <c r="F133" s="93">
        <v>1.0</v>
      </c>
      <c r="G133" s="101" t="s">
        <v>553</v>
      </c>
      <c r="H133" s="85"/>
      <c r="I133" s="86"/>
      <c r="J133" s="87"/>
      <c r="K133" s="88"/>
    </row>
    <row r="134" ht="26.25" customHeight="1">
      <c r="A134" s="90">
        <v>46119.0</v>
      </c>
      <c r="B134" s="81" t="str">
        <f t="shared" si="1"/>
        <v>2026-04</v>
      </c>
      <c r="C134" s="103">
        <v>2.00046153E8</v>
      </c>
      <c r="D134" s="91" t="str">
        <f>IFERROR(VLOOKUP(C134,produto,2,FALSE), "Produto não encontrado")</f>
        <v>ALMOFADA DE AR PNEUMATICA COM VALVULA DE REAJUSTE</v>
      </c>
      <c r="E134" s="92" t="s">
        <v>528</v>
      </c>
      <c r="F134" s="93">
        <v>27.0</v>
      </c>
      <c r="G134" s="101" t="s">
        <v>553</v>
      </c>
      <c r="H134" s="85"/>
      <c r="I134" s="86"/>
      <c r="J134" s="87"/>
      <c r="K134" s="88"/>
    </row>
    <row r="135" ht="26.25" customHeight="1">
      <c r="A135" s="90">
        <v>46119.0</v>
      </c>
      <c r="B135" s="81" t="str">
        <f t="shared" si="1"/>
        <v>2026-04</v>
      </c>
      <c r="C135" s="103">
        <v>2.00036656E8</v>
      </c>
      <c r="D135" s="91" t="str">
        <f>IFERROR(VLOOKUP(C135,produto,2,FALSE), "Produto não encontrado")</f>
        <v>FITA ADESIVA TRANSPARENTE 45MM X 50M</v>
      </c>
      <c r="E135" s="92" t="s">
        <v>528</v>
      </c>
      <c r="F135" s="93">
        <v>1.0</v>
      </c>
      <c r="G135" s="101" t="s">
        <v>553</v>
      </c>
      <c r="H135" s="85"/>
      <c r="I135" s="86"/>
      <c r="J135" s="87"/>
      <c r="K135" s="88"/>
    </row>
    <row r="136" ht="26.25" customHeight="1">
      <c r="A136" s="90">
        <v>46119.0</v>
      </c>
      <c r="B136" s="81" t="str">
        <f t="shared" si="1"/>
        <v>2026-04</v>
      </c>
      <c r="C136" s="103">
        <v>2.00038178E8</v>
      </c>
      <c r="D136" s="91" t="str">
        <f>IFERROR(VLOOKUP(C136,produto,2,FALSE), "Produto não encontrado")</f>
        <v>CARTOLINA GRAMATURA 50X66CM DE 150G</v>
      </c>
      <c r="E136" s="92" t="s">
        <v>528</v>
      </c>
      <c r="F136" s="93">
        <v>2.0</v>
      </c>
      <c r="G136" s="101" t="s">
        <v>547</v>
      </c>
      <c r="H136" s="85"/>
      <c r="I136" s="86"/>
      <c r="J136" s="87"/>
      <c r="K136" s="88"/>
    </row>
    <row r="137" ht="26.25" customHeight="1">
      <c r="A137" s="90">
        <v>46119.0</v>
      </c>
      <c r="B137" s="81" t="str">
        <f t="shared" si="1"/>
        <v>2026-04</v>
      </c>
      <c r="C137" s="103">
        <v>2.0002429E8</v>
      </c>
      <c r="D137" s="91" t="str">
        <f>IFERROR(VLOOKUP(C137,produto,2,FALSE), "Produto não encontrado")</f>
        <v>TRINCHA 3/4 </v>
      </c>
      <c r="E137" s="92" t="s">
        <v>528</v>
      </c>
      <c r="F137" s="93">
        <v>1.0</v>
      </c>
      <c r="G137" s="101" t="s">
        <v>553</v>
      </c>
      <c r="H137" s="85" t="s">
        <v>565</v>
      </c>
      <c r="I137" s="86"/>
      <c r="J137" s="87"/>
      <c r="K137" s="88"/>
    </row>
    <row r="138" ht="26.25" customHeight="1">
      <c r="A138" s="90">
        <v>46118.0</v>
      </c>
      <c r="B138" s="81" t="str">
        <f t="shared" si="1"/>
        <v>2026-04</v>
      </c>
      <c r="C138" s="103">
        <v>2.00048673E8</v>
      </c>
      <c r="D138" s="91" t="str">
        <f>IFERROR(VLOOKUP(C138,produto,2,FALSE), "Produto não encontrado")</f>
        <v>ESTILETE PLASTICO ESTREITO DE 9MM</v>
      </c>
      <c r="E138" s="92" t="s">
        <v>528</v>
      </c>
      <c r="F138" s="93">
        <v>1.0</v>
      </c>
      <c r="G138" s="101" t="s">
        <v>553</v>
      </c>
      <c r="H138" s="85"/>
      <c r="I138" s="86"/>
      <c r="J138" s="87"/>
      <c r="K138" s="88"/>
    </row>
    <row r="139" ht="26.25" customHeight="1">
      <c r="A139" s="90">
        <v>46118.0</v>
      </c>
      <c r="B139" s="81" t="str">
        <f t="shared" si="1"/>
        <v>2026-04</v>
      </c>
      <c r="C139" s="103">
        <v>2.00046152E8</v>
      </c>
      <c r="D139" s="91" t="str">
        <f>IFERROR(VLOOKUP(C139,produto,2,FALSE), "Produto não encontrado")</f>
        <v>MESA DE ATIVIDADES PARA CADEIRA DE RODAS</v>
      </c>
      <c r="E139" s="92" t="s">
        <v>528</v>
      </c>
      <c r="F139" s="93">
        <v>29.0</v>
      </c>
      <c r="G139" s="101" t="s">
        <v>553</v>
      </c>
      <c r="H139" s="85"/>
      <c r="I139" s="86"/>
      <c r="J139" s="87"/>
      <c r="K139" s="88"/>
    </row>
    <row r="140" ht="26.25" customHeight="1">
      <c r="A140" s="90">
        <v>46118.0</v>
      </c>
      <c r="B140" s="81" t="str">
        <f t="shared" si="1"/>
        <v>2026-04</v>
      </c>
      <c r="C140" s="103">
        <v>2.00000046E8</v>
      </c>
      <c r="D140" s="91" t="str">
        <f>IFERROR(VLOOKUP(C140,produto,2,FALSE), "Produto não encontrado")</f>
        <v>Malha Tubular de Algodão 15cmx15m</v>
      </c>
      <c r="E140" s="92" t="s">
        <v>528</v>
      </c>
      <c r="F140" s="93">
        <v>2.0</v>
      </c>
      <c r="G140" s="101" t="s">
        <v>547</v>
      </c>
      <c r="H140" s="85"/>
      <c r="I140" s="86"/>
      <c r="J140" s="87"/>
      <c r="K140" s="88"/>
    </row>
    <row r="141" ht="26.25" customHeight="1">
      <c r="A141" s="90">
        <v>46118.0</v>
      </c>
      <c r="B141" s="81" t="str">
        <f t="shared" si="1"/>
        <v>2026-04</v>
      </c>
      <c r="C141" s="103">
        <v>2.00000045E8</v>
      </c>
      <c r="D141" s="91" t="str">
        <f>IFERROR(VLOOKUP(C141,produto,2,FALSE), "Produto não encontrado")</f>
        <v>Malha Tubular de Algodão 10cm x 15m</v>
      </c>
      <c r="E141" s="92" t="s">
        <v>528</v>
      </c>
      <c r="F141" s="93">
        <v>5.0</v>
      </c>
      <c r="G141" s="101" t="s">
        <v>547</v>
      </c>
      <c r="H141" s="85"/>
      <c r="I141" s="86"/>
      <c r="J141" s="87"/>
      <c r="K141" s="88"/>
    </row>
    <row r="142" ht="26.25" customHeight="1">
      <c r="A142" s="90">
        <v>46113.0</v>
      </c>
      <c r="B142" s="81" t="str">
        <f t="shared" si="1"/>
        <v>2026-04</v>
      </c>
      <c r="C142" s="103">
        <v>2.00000045E8</v>
      </c>
      <c r="D142" s="91" t="str">
        <f>IFERROR(VLOOKUP(C142,produto,2,FALSE), "Produto não encontrado")</f>
        <v>Malha Tubular de Algodão 10cm x 15m</v>
      </c>
      <c r="E142" s="92" t="s">
        <v>528</v>
      </c>
      <c r="F142" s="93">
        <v>1.0</v>
      </c>
      <c r="G142" s="101" t="s">
        <v>547</v>
      </c>
      <c r="H142" s="85" t="s">
        <v>566</v>
      </c>
      <c r="I142" s="86"/>
      <c r="J142" s="87"/>
      <c r="K142" s="88"/>
    </row>
    <row r="143" ht="26.25" customHeight="1">
      <c r="A143" s="90">
        <v>46112.0</v>
      </c>
      <c r="B143" s="81" t="str">
        <f t="shared" si="1"/>
        <v>2026-03</v>
      </c>
      <c r="C143" s="103">
        <v>2.00036656E8</v>
      </c>
      <c r="D143" s="91" t="str">
        <f>IFERROR(VLOOKUP(C143,produto,2,FALSE), "Produto não encontrado")</f>
        <v>FITA ADESIVA TRANSPARENTE 45MM X 50M</v>
      </c>
      <c r="E143" s="92" t="s">
        <v>528</v>
      </c>
      <c r="F143" s="93">
        <v>1.0</v>
      </c>
      <c r="G143" s="101" t="s">
        <v>547</v>
      </c>
      <c r="H143" s="85"/>
      <c r="I143" s="86"/>
      <c r="J143" s="87"/>
      <c r="K143" s="88"/>
    </row>
    <row r="144" ht="26.25" customHeight="1">
      <c r="A144" s="90">
        <v>46111.0</v>
      </c>
      <c r="B144" s="81" t="str">
        <f t="shared" si="1"/>
        <v>2026-03</v>
      </c>
      <c r="C144" s="103">
        <v>2.0008597E8</v>
      </c>
      <c r="D144" s="91" t="str">
        <f>IFERROR(VLOOKUP(C144,produto,2,FALSE), "Produto não encontrado")</f>
        <v>COLA DE CONTATO MULTIUSO DE 2,8KG</v>
      </c>
      <c r="E144" s="92" t="s">
        <v>528</v>
      </c>
      <c r="F144" s="93">
        <v>2.0</v>
      </c>
      <c r="G144" s="101" t="s">
        <v>547</v>
      </c>
      <c r="H144" s="85"/>
      <c r="I144" s="86"/>
      <c r="J144" s="87"/>
      <c r="K144" s="88"/>
    </row>
    <row r="145" ht="26.25" customHeight="1">
      <c r="A145" s="90">
        <v>46111.0</v>
      </c>
      <c r="B145" s="81" t="str">
        <f t="shared" si="1"/>
        <v>2026-03</v>
      </c>
      <c r="C145" s="103">
        <v>2.00066236E8</v>
      </c>
      <c r="D145" s="91" t="str">
        <f>IFERROR(VLOOKUP(C145,produto,2,FALSE), "Produto não encontrado")</f>
        <v>ENVELOPE MADEIRA A4 240 X 340MM 80G</v>
      </c>
      <c r="E145" s="92" t="s">
        <v>528</v>
      </c>
      <c r="F145" s="93">
        <v>8.0</v>
      </c>
      <c r="G145" s="101" t="s">
        <v>547</v>
      </c>
      <c r="H145" s="85"/>
      <c r="I145" s="86"/>
      <c r="J145" s="87"/>
      <c r="K145" s="88"/>
    </row>
    <row r="146" ht="26.25" customHeight="1">
      <c r="A146" s="90">
        <v>46111.0</v>
      </c>
      <c r="B146" s="81" t="str">
        <f t="shared" si="1"/>
        <v>2026-03</v>
      </c>
      <c r="C146" s="103">
        <v>2.00036618E8</v>
      </c>
      <c r="D146" s="91" t="str">
        <f>IFERROR(VLOOKUP(C146,produto,2,FALSE), "Produto não encontrado")</f>
        <v>ESPONJA SINTETICA DUPLA FACE 10X7X2</v>
      </c>
      <c r="E146" s="92" t="s">
        <v>528</v>
      </c>
      <c r="F146" s="93">
        <v>1.0</v>
      </c>
      <c r="G146" s="101" t="s">
        <v>547</v>
      </c>
      <c r="H146" s="85"/>
      <c r="I146" s="86"/>
      <c r="J146" s="87"/>
      <c r="K146" s="88"/>
    </row>
    <row r="147" ht="26.25" customHeight="1">
      <c r="A147" s="90">
        <v>46111.0</v>
      </c>
      <c r="B147" s="81" t="str">
        <f t="shared" si="1"/>
        <v>2026-03</v>
      </c>
      <c r="C147" s="103">
        <v>2.00061185E8</v>
      </c>
      <c r="D147" s="91" t="str">
        <f>IFERROR(VLOOKUP(C147,produto,2,FALSE), "Produto não encontrado")</f>
        <v>LAMINA PARA ESTILETE ESTREITO DE 18CM</v>
      </c>
      <c r="E147" s="92" t="s">
        <v>528</v>
      </c>
      <c r="F147" s="93">
        <v>1.0</v>
      </c>
      <c r="G147" s="101" t="s">
        <v>547</v>
      </c>
      <c r="H147" s="85"/>
      <c r="I147" s="86"/>
      <c r="J147" s="87"/>
      <c r="K147" s="88"/>
    </row>
    <row r="148" ht="26.25" customHeight="1">
      <c r="A148" s="90">
        <v>46106.0</v>
      </c>
      <c r="B148" s="81" t="str">
        <f t="shared" si="1"/>
        <v>2026-03</v>
      </c>
      <c r="C148" s="103">
        <v>2.00077416E8</v>
      </c>
      <c r="D148" s="91" t="str">
        <f>IFERROR(VLOOKUP(C148,produto,2,FALSE), "Produto não encontrado")</f>
        <v>COLA SPRAY PERMANENTE DE 500ML/330G</v>
      </c>
      <c r="E148" s="92" t="s">
        <v>528</v>
      </c>
      <c r="F148" s="93">
        <v>1.0</v>
      </c>
      <c r="G148" s="101" t="s">
        <v>567</v>
      </c>
      <c r="H148" s="85"/>
      <c r="I148" s="86"/>
      <c r="J148" s="87"/>
      <c r="K148" s="88"/>
    </row>
    <row r="149" ht="26.25" customHeight="1">
      <c r="A149" s="90">
        <v>46106.0</v>
      </c>
      <c r="B149" s="81" t="str">
        <f t="shared" si="1"/>
        <v>2026-03</v>
      </c>
      <c r="C149" s="103">
        <v>2.00031692E8</v>
      </c>
      <c r="D149" s="91" t="str">
        <f>IFERROR(VLOOKUP(C149,produto,2,FALSE), "Produto não encontrado")</f>
        <v> CANETA PARA RETROPROJETOR FINA</v>
      </c>
      <c r="E149" s="92" t="s">
        <v>528</v>
      </c>
      <c r="F149" s="93">
        <v>1.0</v>
      </c>
      <c r="G149" s="101" t="s">
        <v>567</v>
      </c>
      <c r="H149" s="85"/>
      <c r="I149" s="86"/>
      <c r="J149" s="87"/>
      <c r="K149" s="88"/>
    </row>
    <row r="150" ht="26.25" customHeight="1">
      <c r="A150" s="90">
        <v>46105.0</v>
      </c>
      <c r="B150" s="81" t="str">
        <f t="shared" si="1"/>
        <v>2026-03</v>
      </c>
      <c r="C150" s="103">
        <v>2.00036202E8</v>
      </c>
      <c r="D150" s="91" t="str">
        <f>IFERROR(VLOOKUP(C150,produto,2,FALSE), "Produto não encontrado")</f>
        <v>CANETA ESFEROGRAFICA PONTA MEDIA COR AZUL</v>
      </c>
      <c r="E150" s="92" t="s">
        <v>528</v>
      </c>
      <c r="F150" s="93">
        <v>3.0</v>
      </c>
      <c r="G150" s="106" t="s">
        <v>568</v>
      </c>
      <c r="H150" s="85"/>
      <c r="I150" s="86"/>
      <c r="J150" s="87"/>
      <c r="K150" s="88"/>
    </row>
    <row r="151" ht="26.25" customHeight="1">
      <c r="A151" s="90">
        <v>46097.0</v>
      </c>
      <c r="B151" s="81" t="str">
        <f t="shared" si="1"/>
        <v>2026-03</v>
      </c>
      <c r="C151" s="103">
        <v>2.00062977E8</v>
      </c>
      <c r="D151" s="91" t="str">
        <f>IFERROR(VLOOKUP(C151,produto,2,FALSE), "Produto não encontrado")</f>
        <v>TINTA PARA CARIMBO COR AZUL DE 40ML</v>
      </c>
      <c r="E151" s="92" t="s">
        <v>528</v>
      </c>
      <c r="F151" s="93">
        <v>1.0</v>
      </c>
      <c r="G151" s="106" t="s">
        <v>569</v>
      </c>
      <c r="H151" s="85"/>
      <c r="I151" s="86"/>
      <c r="J151" s="87"/>
      <c r="K151" s="88"/>
    </row>
    <row r="152" ht="26.25" customHeight="1">
      <c r="A152" s="90">
        <v>46097.0</v>
      </c>
      <c r="B152" s="81" t="str">
        <f t="shared" si="1"/>
        <v>2026-03</v>
      </c>
      <c r="C152" s="103">
        <v>2.00033068E8</v>
      </c>
      <c r="D152" s="91" t="str">
        <f>IFERROR(VLOOKUP(C152,produto,2,FALSE), "Produto não encontrado")</f>
        <v> PAPEL SULFITE A4 210 X 297MM 75G BRANCO MULTIUSO PACOTE COM 500 FLS</v>
      </c>
      <c r="E152" s="92" t="s">
        <v>528</v>
      </c>
      <c r="F152" s="93">
        <v>3.0</v>
      </c>
      <c r="G152" s="106" t="s">
        <v>570</v>
      </c>
      <c r="H152" s="85"/>
      <c r="I152" s="86"/>
      <c r="J152" s="87"/>
      <c r="K152" s="88"/>
    </row>
    <row r="153" ht="26.25" customHeight="1">
      <c r="A153" s="90">
        <v>46093.0</v>
      </c>
      <c r="B153" s="81" t="str">
        <f t="shared" si="1"/>
        <v>2026-03</v>
      </c>
      <c r="C153" s="103">
        <v>2.00036733E8</v>
      </c>
      <c r="D153" s="91" t="str">
        <f>IFERROR(VLOOKUP(C153,produto,2,FALSE), "Produto não encontrado")</f>
        <v> CANETA MARCA TEXTO PLASTICA COR AMARELO</v>
      </c>
      <c r="E153" s="92" t="s">
        <v>528</v>
      </c>
      <c r="F153" s="93">
        <v>2.0</v>
      </c>
      <c r="G153" s="106" t="s">
        <v>570</v>
      </c>
      <c r="H153" s="85"/>
      <c r="I153" s="86"/>
      <c r="J153" s="87"/>
      <c r="K153" s="88"/>
    </row>
    <row r="154" ht="26.25" customHeight="1">
      <c r="A154" s="90">
        <v>46093.0</v>
      </c>
      <c r="B154" s="81" t="str">
        <f t="shared" si="1"/>
        <v>2026-03</v>
      </c>
      <c r="C154" s="103">
        <v>2.00036201E8</v>
      </c>
      <c r="D154" s="91" t="str">
        <f>IFERROR(VLOOKUP(C154,produto,2,FALSE), "Produto não encontrado")</f>
        <v>CANETA ESFEROGRAFICA PONTA MEDIA COR PRETA</v>
      </c>
      <c r="E154" s="92" t="s">
        <v>528</v>
      </c>
      <c r="F154" s="93">
        <v>1.0</v>
      </c>
      <c r="G154" s="106" t="s">
        <v>570</v>
      </c>
      <c r="H154" s="85"/>
      <c r="I154" s="86"/>
      <c r="J154" s="87"/>
      <c r="K154" s="88"/>
    </row>
    <row r="155" ht="26.25" customHeight="1">
      <c r="A155" s="90">
        <v>46093.0</v>
      </c>
      <c r="B155" s="81" t="str">
        <f t="shared" si="1"/>
        <v>2026-03</v>
      </c>
      <c r="C155" s="103">
        <v>2.00001528E8</v>
      </c>
      <c r="D155" s="91" t="str">
        <f>IFERROR(VLOOKUP(C155,produto,2,FALSE), "Produto não encontrado")</f>
        <v> LAPIS GRAFITE Nº 02</v>
      </c>
      <c r="E155" s="92" t="s">
        <v>528</v>
      </c>
      <c r="F155" s="93">
        <v>1.0</v>
      </c>
      <c r="G155" s="106" t="s">
        <v>570</v>
      </c>
      <c r="H155" s="85"/>
      <c r="I155" s="86"/>
      <c r="J155" s="87"/>
      <c r="K155" s="88"/>
    </row>
    <row r="156" ht="26.25" customHeight="1">
      <c r="A156" s="90">
        <v>46093.0</v>
      </c>
      <c r="B156" s="81" t="str">
        <f t="shared" si="1"/>
        <v>2026-03</v>
      </c>
      <c r="C156" s="103">
        <v>2.00036202E8</v>
      </c>
      <c r="D156" s="91" t="str">
        <f>IFERROR(VLOOKUP(C156,produto,2,FALSE), "Produto não encontrado")</f>
        <v>CANETA ESFEROGRAFICA PONTA MEDIA COR AZUL</v>
      </c>
      <c r="E156" s="92" t="s">
        <v>528</v>
      </c>
      <c r="F156" s="93">
        <v>1.0</v>
      </c>
      <c r="G156" s="106" t="s">
        <v>570</v>
      </c>
      <c r="H156" s="85"/>
      <c r="I156" s="86"/>
      <c r="J156" s="87"/>
      <c r="K156" s="88"/>
    </row>
    <row r="157" ht="26.25" customHeight="1">
      <c r="A157" s="90">
        <v>46093.0</v>
      </c>
      <c r="B157" s="81" t="str">
        <f t="shared" si="1"/>
        <v>2026-03</v>
      </c>
      <c r="C157" s="103">
        <v>2.00037413E8</v>
      </c>
      <c r="D157" s="91" t="str">
        <f>IFERROR(VLOOKUP(C157,produto,2,FALSE), "Produto não encontrado")</f>
        <v>CLIPS NIQUELADO Nº 3 COM 50 UN</v>
      </c>
      <c r="E157" s="92" t="s">
        <v>528</v>
      </c>
      <c r="F157" s="93">
        <v>1.0</v>
      </c>
      <c r="G157" s="106" t="s">
        <v>570</v>
      </c>
      <c r="H157" s="85"/>
      <c r="I157" s="86"/>
      <c r="J157" s="87"/>
      <c r="K157" s="88"/>
    </row>
    <row r="158" ht="26.25" customHeight="1">
      <c r="A158" s="90">
        <v>46092.0</v>
      </c>
      <c r="B158" s="81" t="str">
        <f t="shared" si="1"/>
        <v>2026-03</v>
      </c>
      <c r="C158" s="103">
        <v>2.00031692E8</v>
      </c>
      <c r="D158" s="91" t="str">
        <f>IFERROR(VLOOKUP(C158,produto,2,FALSE), "Produto não encontrado")</f>
        <v> CANETA PARA RETROPROJETOR FINA</v>
      </c>
      <c r="E158" s="92" t="s">
        <v>528</v>
      </c>
      <c r="F158" s="93">
        <v>1.0</v>
      </c>
      <c r="G158" s="106" t="s">
        <v>571</v>
      </c>
      <c r="H158" s="85"/>
      <c r="I158" s="86"/>
      <c r="J158" s="87"/>
      <c r="K158" s="88"/>
    </row>
    <row r="159" ht="26.25" customHeight="1">
      <c r="A159" s="90">
        <v>46092.0</v>
      </c>
      <c r="B159" s="81" t="str">
        <f t="shared" si="1"/>
        <v>2026-03</v>
      </c>
      <c r="C159" s="103">
        <v>2.00040799E8</v>
      </c>
      <c r="D159" s="91" t="str">
        <f>IFERROR(VLOOKUP(C159,produto,2,FALSE), "Produto não encontrado")</f>
        <v>CAIXA ARQUIVO MORTO EM POLIONDA MED (380X175X290) MM NA COR AMARELA</v>
      </c>
      <c r="E159" s="92" t="s">
        <v>528</v>
      </c>
      <c r="F159" s="93">
        <v>2.0</v>
      </c>
      <c r="G159" s="101" t="s">
        <v>553</v>
      </c>
      <c r="H159" s="85"/>
      <c r="I159" s="86"/>
      <c r="J159" s="87"/>
      <c r="K159" s="88"/>
    </row>
    <row r="160" ht="26.25" customHeight="1">
      <c r="A160" s="90">
        <v>46087.0</v>
      </c>
      <c r="B160" s="81" t="str">
        <f t="shared" si="1"/>
        <v>2026-03</v>
      </c>
      <c r="C160" s="103">
        <v>2.00052413E8</v>
      </c>
      <c r="D160" s="91" t="str">
        <f>IFERROR(VLOOKUP(C160,produto,2,FALSE), "Produto não encontrado")</f>
        <v>LUVA LATEX P COM 100 UND</v>
      </c>
      <c r="E160" s="92" t="s">
        <v>526</v>
      </c>
      <c r="F160" s="93">
        <v>2.0</v>
      </c>
      <c r="G160" s="106" t="s">
        <v>572</v>
      </c>
      <c r="H160" s="85"/>
      <c r="I160" s="86"/>
      <c r="J160" s="87"/>
      <c r="K160" s="88"/>
    </row>
    <row r="161" ht="26.25" customHeight="1">
      <c r="A161" s="90">
        <v>46086.0</v>
      </c>
      <c r="B161" s="81" t="str">
        <f t="shared" si="1"/>
        <v>2026-03</v>
      </c>
      <c r="C161" s="103">
        <v>2.0007495E8</v>
      </c>
      <c r="D161" s="91" t="str">
        <f>IFERROR(VLOOKUP(C161,produto,2,FALSE), "Produto não encontrado")</f>
        <v>PILHA ALCALINA AA 1,5V COM 4 UNIDADES</v>
      </c>
      <c r="E161" s="92" t="s">
        <v>526</v>
      </c>
      <c r="F161" s="93">
        <v>3.0</v>
      </c>
      <c r="G161" s="106" t="s">
        <v>572</v>
      </c>
      <c r="H161" s="85"/>
      <c r="I161" s="86"/>
      <c r="J161" s="87"/>
      <c r="K161" s="88"/>
    </row>
    <row r="162" ht="26.25" customHeight="1">
      <c r="A162" s="90">
        <v>46086.0</v>
      </c>
      <c r="B162" s="81" t="str">
        <f t="shared" si="1"/>
        <v>2026-03</v>
      </c>
      <c r="C162" s="103">
        <v>2.00036202E8</v>
      </c>
      <c r="D162" s="91" t="str">
        <f>IFERROR(VLOOKUP(C162,produto,2,FALSE), "Produto não encontrado")</f>
        <v>CANETA ESFEROGRAFICA PONTA MEDIA COR AZUL</v>
      </c>
      <c r="E162" s="92" t="s">
        <v>526</v>
      </c>
      <c r="F162" s="93">
        <v>10.0</v>
      </c>
      <c r="G162" s="106" t="s">
        <v>572</v>
      </c>
      <c r="H162" s="85"/>
      <c r="I162" s="86"/>
      <c r="J162" s="87"/>
      <c r="K162" s="88"/>
    </row>
    <row r="163" ht="26.25" customHeight="1">
      <c r="A163" s="90">
        <v>46086.0</v>
      </c>
      <c r="B163" s="81" t="str">
        <f t="shared" si="1"/>
        <v>2026-03</v>
      </c>
      <c r="C163" s="103">
        <v>2.00040799E8</v>
      </c>
      <c r="D163" s="91" t="str">
        <f>IFERROR(VLOOKUP(C163,produto,2,FALSE), "Produto não encontrado")</f>
        <v>CAIXA ARQUIVO MORTO EM POLIONDA MED (380X175X290) MM NA COR AMARELA</v>
      </c>
      <c r="E163" s="92" t="s">
        <v>526</v>
      </c>
      <c r="F163" s="93">
        <v>2.0</v>
      </c>
      <c r="G163" s="106" t="s">
        <v>572</v>
      </c>
      <c r="H163" s="85"/>
      <c r="I163" s="86"/>
      <c r="J163" s="87"/>
      <c r="K163" s="88"/>
    </row>
    <row r="164" ht="26.25" customHeight="1">
      <c r="A164" s="90">
        <v>46086.0</v>
      </c>
      <c r="B164" s="81" t="str">
        <f t="shared" si="1"/>
        <v>2026-03</v>
      </c>
      <c r="C164" s="103">
        <v>2.000007E8</v>
      </c>
      <c r="D164" s="91" t="str">
        <f>IFERROR(VLOOKUP(C164,produto,2,FALSE), "Produto não encontrado")</f>
        <v>TOUCA DESCARTAVEL PACOTE COM 100 UN</v>
      </c>
      <c r="E164" s="92" t="s">
        <v>526</v>
      </c>
      <c r="F164" s="93">
        <v>1.0</v>
      </c>
      <c r="G164" s="106" t="s">
        <v>572</v>
      </c>
      <c r="H164" s="85"/>
      <c r="I164" s="86"/>
      <c r="J164" s="87"/>
      <c r="K164" s="88"/>
    </row>
    <row r="165" ht="26.25" customHeight="1">
      <c r="A165" s="90">
        <v>46086.0</v>
      </c>
      <c r="B165" s="81" t="str">
        <f t="shared" si="1"/>
        <v>2026-03</v>
      </c>
      <c r="C165" s="103">
        <v>2.00031692E8</v>
      </c>
      <c r="D165" s="91" t="str">
        <f>IFERROR(VLOOKUP(C165,produto,2,FALSE), "Produto não encontrado")</f>
        <v> CANETA PARA RETROPROJETOR FINA</v>
      </c>
      <c r="E165" s="92" t="s">
        <v>526</v>
      </c>
      <c r="F165" s="93">
        <v>2.0</v>
      </c>
      <c r="G165" s="106" t="s">
        <v>572</v>
      </c>
      <c r="H165" s="85"/>
      <c r="I165" s="86"/>
      <c r="J165" s="87"/>
      <c r="K165" s="88"/>
    </row>
    <row r="166" ht="26.25" customHeight="1">
      <c r="A166" s="90">
        <v>46084.0</v>
      </c>
      <c r="B166" s="81" t="str">
        <f t="shared" si="1"/>
        <v>2026-03</v>
      </c>
      <c r="C166" s="107">
        <v>2.00077416E8</v>
      </c>
      <c r="D166" s="91" t="str">
        <f>IFERROR(VLOOKUP(C166,produto,2,FALSE), "Produto não encontrado")</f>
        <v>COLA SPRAY PERMANENTE DE 500ML/330G</v>
      </c>
      <c r="E166" s="92" t="s">
        <v>528</v>
      </c>
      <c r="F166" s="93">
        <v>1.0</v>
      </c>
      <c r="G166" s="106" t="s">
        <v>547</v>
      </c>
      <c r="H166" s="85"/>
      <c r="I166" s="86"/>
      <c r="J166" s="87"/>
      <c r="K166" s="88"/>
    </row>
    <row r="167" ht="26.25" customHeight="1">
      <c r="A167" s="90">
        <v>46084.0</v>
      </c>
      <c r="B167" s="81" t="str">
        <f t="shared" si="1"/>
        <v>2026-03</v>
      </c>
      <c r="C167" s="107">
        <v>2.00000408E8</v>
      </c>
      <c r="D167" s="91" t="str">
        <f>IFERROR(VLOOKUP(C167,produto,2,FALSE), "Produto não encontrado")</f>
        <v>LENÇOL DESCARTAVEL 50 x 70 mm</v>
      </c>
      <c r="E167" s="92" t="s">
        <v>528</v>
      </c>
      <c r="F167" s="93">
        <v>1.0</v>
      </c>
      <c r="G167" s="106" t="s">
        <v>547</v>
      </c>
      <c r="H167" s="85"/>
      <c r="I167" s="86"/>
      <c r="J167" s="87"/>
      <c r="K167" s="88"/>
    </row>
    <row r="168" ht="26.25" customHeight="1">
      <c r="A168" s="90">
        <v>46084.0</v>
      </c>
      <c r="B168" s="81" t="str">
        <f t="shared" si="1"/>
        <v>2026-03</v>
      </c>
      <c r="C168" s="107">
        <v>2.00000022E8</v>
      </c>
      <c r="D168" s="91" t="str">
        <f>IFERROR(VLOOKUP(C168,produto,2,FALSE), "Produto não encontrado")</f>
        <v>VELCRO FEMEA 50mm AZUL R V443</v>
      </c>
      <c r="E168" s="92" t="s">
        <v>528</v>
      </c>
      <c r="F168" s="93">
        <v>1.0</v>
      </c>
      <c r="G168" s="106" t="s">
        <v>547</v>
      </c>
      <c r="H168" s="85"/>
      <c r="I168" s="86"/>
      <c r="J168" s="87"/>
      <c r="K168" s="88"/>
    </row>
    <row r="169" ht="26.25" customHeight="1">
      <c r="A169" s="90">
        <v>46084.0</v>
      </c>
      <c r="B169" s="81" t="str">
        <f t="shared" si="1"/>
        <v>2026-03</v>
      </c>
      <c r="C169" s="107">
        <v>2.00001052E8</v>
      </c>
      <c r="D169" s="91" t="str">
        <f>IFERROR(VLOOKUP(C169,produto,2,FALSE), "Produto não encontrado")</f>
        <v>REGUA CRISTAL 50 CM</v>
      </c>
      <c r="E169" s="92" t="s">
        <v>528</v>
      </c>
      <c r="F169" s="93">
        <v>1.0</v>
      </c>
      <c r="G169" s="106" t="s">
        <v>547</v>
      </c>
      <c r="H169" s="85"/>
      <c r="I169" s="86"/>
      <c r="J169" s="87"/>
      <c r="K169" s="88"/>
    </row>
    <row r="170" ht="26.25" customHeight="1">
      <c r="A170" s="90">
        <v>46084.0</v>
      </c>
      <c r="B170" s="81" t="str">
        <f t="shared" si="1"/>
        <v>2026-03</v>
      </c>
      <c r="C170" s="107">
        <v>2.00056391E8</v>
      </c>
      <c r="D170" s="91" t="str">
        <f>IFERROR(VLOOKUP(C170,produto,2,FALSE), "Produto não encontrado")</f>
        <v>FITA CREPE DE 48X50MM</v>
      </c>
      <c r="E170" s="92" t="s">
        <v>528</v>
      </c>
      <c r="F170" s="93">
        <v>2.0</v>
      </c>
      <c r="G170" s="106" t="s">
        <v>547</v>
      </c>
      <c r="H170" s="85"/>
      <c r="I170" s="86"/>
      <c r="J170" s="87"/>
      <c r="K170" s="88"/>
    </row>
    <row r="171" ht="26.25" customHeight="1">
      <c r="A171" s="90">
        <v>46084.0</v>
      </c>
      <c r="B171" s="81" t="str">
        <f t="shared" si="1"/>
        <v>2026-03</v>
      </c>
      <c r="C171" s="108" t="s">
        <v>265</v>
      </c>
      <c r="D171" s="91" t="str">
        <f>IFERROR(VLOOKUP(C171,produto,2,FALSE), "Produto não encontrado")</f>
        <v>Estopa Branca 150g Para Polimentos em Geral</v>
      </c>
      <c r="E171" s="92" t="s">
        <v>528</v>
      </c>
      <c r="F171" s="93">
        <v>1.0</v>
      </c>
      <c r="G171" s="106" t="s">
        <v>547</v>
      </c>
      <c r="H171" s="85"/>
      <c r="I171" s="86"/>
      <c r="J171" s="87"/>
      <c r="K171" s="88"/>
    </row>
    <row r="172" ht="26.25" customHeight="1">
      <c r="A172" s="90">
        <v>46084.0</v>
      </c>
      <c r="B172" s="81" t="str">
        <f t="shared" si="1"/>
        <v>2026-03</v>
      </c>
      <c r="C172" s="107">
        <v>2.00062977E8</v>
      </c>
      <c r="D172" s="91" t="str">
        <f>IFERROR(VLOOKUP(C172,produto,2,FALSE), "Produto não encontrado")</f>
        <v>TINTA PARA CARIMBO COR AZUL DE 40ML</v>
      </c>
      <c r="E172" s="92" t="s">
        <v>528</v>
      </c>
      <c r="F172" s="93">
        <v>2.0</v>
      </c>
      <c r="G172" s="106" t="s">
        <v>547</v>
      </c>
      <c r="H172" s="85"/>
      <c r="I172" s="86"/>
      <c r="J172" s="87"/>
      <c r="K172" s="88"/>
    </row>
    <row r="173" ht="26.25" customHeight="1">
      <c r="A173" s="90">
        <v>46084.0</v>
      </c>
      <c r="B173" s="81" t="str">
        <f t="shared" si="1"/>
        <v>2026-03</v>
      </c>
      <c r="C173" s="107">
        <v>2.00054364E8</v>
      </c>
      <c r="D173" s="91" t="str">
        <f>IFERROR(VLOOKUP(C173,produto,2,FALSE), "Produto não encontrado")</f>
        <v>ESTILETE PLASTICO DE 13CM LAMINA LARGA</v>
      </c>
      <c r="E173" s="92" t="s">
        <v>528</v>
      </c>
      <c r="F173" s="93">
        <v>2.0</v>
      </c>
      <c r="G173" s="106" t="s">
        <v>547</v>
      </c>
      <c r="H173" s="85"/>
      <c r="I173" s="86"/>
      <c r="J173" s="87"/>
      <c r="K173" s="88"/>
    </row>
    <row r="174" ht="26.25" customHeight="1">
      <c r="A174" s="90">
        <v>46084.0</v>
      </c>
      <c r="B174" s="81" t="str">
        <f t="shared" si="1"/>
        <v>2026-03</v>
      </c>
      <c r="C174" s="107">
        <v>2.00048673E8</v>
      </c>
      <c r="D174" s="91" t="str">
        <f>IFERROR(VLOOKUP(C174,produto,2,FALSE), "Produto não encontrado")</f>
        <v>ESTILETE PLASTICO ESTREITO DE 9MM</v>
      </c>
      <c r="E174" s="92" t="s">
        <v>528</v>
      </c>
      <c r="F174" s="93">
        <v>1.0</v>
      </c>
      <c r="G174" s="106" t="s">
        <v>547</v>
      </c>
      <c r="H174" s="85"/>
      <c r="I174" s="86"/>
      <c r="J174" s="87"/>
      <c r="K174" s="88"/>
    </row>
    <row r="175" ht="26.25" customHeight="1">
      <c r="A175" s="90">
        <v>46084.0</v>
      </c>
      <c r="B175" s="81" t="str">
        <f t="shared" si="1"/>
        <v>2026-03</v>
      </c>
      <c r="C175" s="107">
        <v>2.00052793E8</v>
      </c>
      <c r="D175" s="91" t="str">
        <f>IFERROR(VLOOKUP(C175,produto,2,FALSE), "Produto não encontrado")</f>
        <v>CORRETIVO EM FITA 5MMX12M</v>
      </c>
      <c r="E175" s="92" t="s">
        <v>528</v>
      </c>
      <c r="F175" s="93">
        <v>1.0</v>
      </c>
      <c r="G175" s="106" t="s">
        <v>547</v>
      </c>
      <c r="H175" s="85"/>
      <c r="I175" s="86"/>
      <c r="J175" s="87"/>
      <c r="K175" s="88"/>
    </row>
    <row r="176" ht="26.25" customHeight="1">
      <c r="A176" s="90">
        <v>46084.0</v>
      </c>
      <c r="B176" s="81" t="str">
        <f t="shared" si="1"/>
        <v>2026-03</v>
      </c>
      <c r="C176" s="107">
        <v>2.00061185E8</v>
      </c>
      <c r="D176" s="91" t="str">
        <f>IFERROR(VLOOKUP(C176,produto,2,FALSE), "Produto não encontrado")</f>
        <v>LAMINA PARA ESTILETE ESTREITO DE 18CM</v>
      </c>
      <c r="E176" s="92" t="s">
        <v>528</v>
      </c>
      <c r="F176" s="93">
        <v>1.0</v>
      </c>
      <c r="G176" s="106" t="s">
        <v>547</v>
      </c>
      <c r="H176" s="85"/>
      <c r="I176" s="86"/>
      <c r="J176" s="87"/>
      <c r="K176" s="88"/>
    </row>
    <row r="177" ht="26.25" customHeight="1">
      <c r="A177" s="90">
        <v>46084.0</v>
      </c>
      <c r="B177" s="81" t="str">
        <f t="shared" si="1"/>
        <v>2026-03</v>
      </c>
      <c r="C177" s="107">
        <v>2.00036489E8</v>
      </c>
      <c r="D177" s="91" t="str">
        <f>IFERROR(VLOOKUP(C177,produto,2,FALSE), "Produto não encontrado")</f>
        <v>CLIPS NIQUELADO Nº 1 COM 100 UN</v>
      </c>
      <c r="E177" s="92" t="s">
        <v>528</v>
      </c>
      <c r="F177" s="93">
        <v>1.0</v>
      </c>
      <c r="G177" s="106" t="s">
        <v>547</v>
      </c>
      <c r="H177" s="85"/>
      <c r="I177" s="86"/>
      <c r="J177" s="87"/>
      <c r="K177" s="88"/>
    </row>
    <row r="178" ht="26.25" customHeight="1">
      <c r="A178" s="90">
        <v>46080.0</v>
      </c>
      <c r="B178" s="81" t="str">
        <f t="shared" si="1"/>
        <v>2026-02</v>
      </c>
      <c r="C178" s="107">
        <v>2.00036202E8</v>
      </c>
      <c r="D178" s="91" t="str">
        <f>IFERROR(VLOOKUP(C178,produto,2,FALSE), "Produto não encontrado")</f>
        <v>CANETA ESFEROGRAFICA PONTA MEDIA COR AZUL</v>
      </c>
      <c r="E178" s="92" t="s">
        <v>528</v>
      </c>
      <c r="F178" s="93">
        <v>9.0</v>
      </c>
      <c r="G178" s="106" t="s">
        <v>547</v>
      </c>
      <c r="H178" s="85"/>
      <c r="I178" s="86"/>
      <c r="J178" s="87"/>
      <c r="K178" s="88"/>
    </row>
    <row r="179" ht="26.25" customHeight="1">
      <c r="A179" s="90">
        <v>46080.0</v>
      </c>
      <c r="B179" s="81" t="str">
        <f t="shared" si="1"/>
        <v>2026-02</v>
      </c>
      <c r="C179" s="107">
        <v>2.00036201E8</v>
      </c>
      <c r="D179" s="91" t="str">
        <f>IFERROR(VLOOKUP(C179,produto,2,FALSE), "Produto não encontrado")</f>
        <v>CANETA ESFEROGRAFICA PONTA MEDIA COR PRETA</v>
      </c>
      <c r="E179" s="92" t="s">
        <v>528</v>
      </c>
      <c r="F179" s="93">
        <v>5.0</v>
      </c>
      <c r="G179" s="106" t="s">
        <v>547</v>
      </c>
      <c r="H179" s="85"/>
      <c r="I179" s="86"/>
      <c r="J179" s="87"/>
      <c r="K179" s="88"/>
    </row>
    <row r="180" ht="26.25" customHeight="1">
      <c r="A180" s="90">
        <v>46078.0</v>
      </c>
      <c r="B180" s="81" t="str">
        <f t="shared" si="1"/>
        <v>2026-02</v>
      </c>
      <c r="C180" s="108" t="s">
        <v>150</v>
      </c>
      <c r="D180" s="91" t="str">
        <f>IFERROR(VLOOKUP(C180,produto,2,FALSE), "Produto não encontrado")</f>
        <v>MARCADOR PARA QUADRO BRANCO</v>
      </c>
      <c r="E180" s="92" t="s">
        <v>526</v>
      </c>
      <c r="F180" s="93">
        <v>2.0</v>
      </c>
      <c r="G180" s="106" t="s">
        <v>573</v>
      </c>
      <c r="H180" s="85"/>
      <c r="I180" s="86"/>
      <c r="J180" s="87"/>
      <c r="K180" s="88"/>
    </row>
    <row r="181" ht="26.25" customHeight="1">
      <c r="A181" s="90">
        <v>46078.0</v>
      </c>
      <c r="B181" s="81" t="str">
        <f t="shared" si="1"/>
        <v>2026-02</v>
      </c>
      <c r="C181" s="109">
        <v>2.00031692E8</v>
      </c>
      <c r="D181" s="91" t="str">
        <f>IFERROR(VLOOKUP(C181,produto,2,FALSE), "Produto não encontrado")</f>
        <v> CANETA PARA RETROPROJETOR FINA</v>
      </c>
      <c r="E181" s="92" t="s">
        <v>526</v>
      </c>
      <c r="F181" s="93">
        <v>2.0</v>
      </c>
      <c r="G181" s="106" t="s">
        <v>573</v>
      </c>
      <c r="H181" s="85"/>
      <c r="I181" s="86"/>
      <c r="J181" s="87"/>
      <c r="K181" s="88"/>
    </row>
    <row r="182" ht="26.25" customHeight="1">
      <c r="A182" s="90">
        <v>46078.0</v>
      </c>
      <c r="B182" s="81" t="str">
        <f t="shared" si="1"/>
        <v>2026-02</v>
      </c>
      <c r="C182" s="109" t="s">
        <v>437</v>
      </c>
      <c r="D182" s="91" t="str">
        <f>IFERROR(VLOOKUP(C182,produto,2,FALSE), "Produto não encontrado")</f>
        <v>COLAR DE MILWAKEE - KIT P/ MILWAUKEE MEDIO</v>
      </c>
      <c r="E182" s="92" t="s">
        <v>528</v>
      </c>
      <c r="F182" s="93">
        <v>1.0</v>
      </c>
      <c r="G182" s="106" t="s">
        <v>573</v>
      </c>
      <c r="H182" s="85"/>
      <c r="I182" s="86"/>
      <c r="J182" s="87"/>
      <c r="K182" s="88"/>
    </row>
    <row r="183" ht="26.25" customHeight="1">
      <c r="A183" s="90">
        <v>46078.0</v>
      </c>
      <c r="B183" s="81" t="str">
        <f t="shared" si="1"/>
        <v>2026-02</v>
      </c>
      <c r="C183" s="109">
        <v>2.00031692E8</v>
      </c>
      <c r="D183" s="91" t="str">
        <f>IFERROR(VLOOKUP(C183,produto,2,FALSE), "Produto não encontrado")</f>
        <v> CANETA PARA RETROPROJETOR FINA</v>
      </c>
      <c r="E183" s="92" t="s">
        <v>528</v>
      </c>
      <c r="F183" s="93">
        <v>10.0</v>
      </c>
      <c r="G183" s="106" t="s">
        <v>573</v>
      </c>
      <c r="H183" s="85"/>
      <c r="I183" s="86"/>
      <c r="J183" s="87"/>
      <c r="K183" s="88"/>
    </row>
    <row r="184" ht="26.25" customHeight="1">
      <c r="A184" s="90">
        <v>46078.0</v>
      </c>
      <c r="B184" s="81" t="str">
        <f t="shared" si="1"/>
        <v>2026-02</v>
      </c>
      <c r="C184" s="109">
        <v>2.00031692E8</v>
      </c>
      <c r="D184" s="91" t="str">
        <f>IFERROR(VLOOKUP(C184,produto,2,FALSE), "Produto não encontrado")</f>
        <v> CANETA PARA RETROPROJETOR FINA</v>
      </c>
      <c r="E184" s="92" t="s">
        <v>528</v>
      </c>
      <c r="F184" s="93">
        <v>2.0</v>
      </c>
      <c r="G184" s="106" t="s">
        <v>573</v>
      </c>
      <c r="H184" s="85"/>
      <c r="I184" s="86"/>
      <c r="J184" s="87"/>
      <c r="K184" s="88"/>
    </row>
    <row r="185" ht="26.25" customHeight="1">
      <c r="A185" s="90">
        <v>46078.0</v>
      </c>
      <c r="B185" s="81" t="str">
        <f t="shared" si="1"/>
        <v>2026-02</v>
      </c>
      <c r="C185" s="109">
        <v>2.00036733E8</v>
      </c>
      <c r="D185" s="91" t="str">
        <f>IFERROR(VLOOKUP(C185,produto,2,FALSE), "Produto não encontrado")</f>
        <v> CANETA MARCA TEXTO PLASTICA COR AMARELO</v>
      </c>
      <c r="E185" s="92" t="s">
        <v>528</v>
      </c>
      <c r="F185" s="93">
        <v>1.0</v>
      </c>
      <c r="G185" s="106" t="s">
        <v>573</v>
      </c>
      <c r="H185" s="85"/>
      <c r="I185" s="86"/>
      <c r="J185" s="87"/>
      <c r="K185" s="88"/>
    </row>
    <row r="186" ht="26.25" customHeight="1">
      <c r="A186" s="90">
        <v>46078.0</v>
      </c>
      <c r="B186" s="81" t="str">
        <f t="shared" si="1"/>
        <v>2026-02</v>
      </c>
      <c r="C186" s="109">
        <v>2.00001528E8</v>
      </c>
      <c r="D186" s="91" t="str">
        <f>IFERROR(VLOOKUP(C186,produto,2,FALSE), "Produto não encontrado")</f>
        <v> LAPIS GRAFITE Nº 02</v>
      </c>
      <c r="E186" s="92" t="s">
        <v>526</v>
      </c>
      <c r="F186" s="93">
        <v>3.0</v>
      </c>
      <c r="G186" s="106" t="s">
        <v>573</v>
      </c>
      <c r="H186" s="85"/>
      <c r="I186" s="86"/>
      <c r="J186" s="87"/>
      <c r="K186" s="88"/>
    </row>
    <row r="187" ht="26.25" customHeight="1">
      <c r="A187" s="90">
        <v>46078.0</v>
      </c>
      <c r="B187" s="81" t="str">
        <f t="shared" si="1"/>
        <v>2026-02</v>
      </c>
      <c r="C187" s="109">
        <v>2.00036201E8</v>
      </c>
      <c r="D187" s="91" t="str">
        <f>IFERROR(VLOOKUP(C187,produto,2,FALSE), "Produto não encontrado")</f>
        <v>CANETA ESFEROGRAFICA PONTA MEDIA COR PRETA</v>
      </c>
      <c r="E187" s="92" t="s">
        <v>526</v>
      </c>
      <c r="F187" s="93">
        <v>12.0</v>
      </c>
      <c r="G187" s="106" t="s">
        <v>573</v>
      </c>
      <c r="H187" s="85"/>
      <c r="I187" s="86"/>
      <c r="J187" s="87"/>
      <c r="K187" s="88"/>
    </row>
    <row r="188" ht="26.25" customHeight="1">
      <c r="A188" s="90">
        <v>46078.0</v>
      </c>
      <c r="B188" s="81" t="str">
        <f t="shared" si="1"/>
        <v>2026-02</v>
      </c>
      <c r="C188" s="109">
        <v>2.0008183E8</v>
      </c>
      <c r="D188" s="91" t="str">
        <f>IFERROR(VLOOKUP(C188,produto,2,FALSE), "Produto não encontrado")</f>
        <v>BLOCO DE ANOTAÇÃO AUTOADESIVO 76 X 102 MM COM 100 FOLHAS</v>
      </c>
      <c r="E188" s="92" t="s">
        <v>526</v>
      </c>
      <c r="F188" s="93">
        <v>1.0</v>
      </c>
      <c r="G188" s="106" t="s">
        <v>573</v>
      </c>
      <c r="H188" s="85"/>
      <c r="I188" s="86"/>
      <c r="J188" s="87"/>
      <c r="K188" s="88"/>
    </row>
    <row r="189" ht="26.25" customHeight="1">
      <c r="A189" s="90">
        <v>46078.0</v>
      </c>
      <c r="B189" s="81" t="str">
        <f t="shared" si="1"/>
        <v>2026-02</v>
      </c>
      <c r="C189" s="109">
        <v>2.00082939E8</v>
      </c>
      <c r="D189" s="91" t="str">
        <f>IFERROR(VLOOKUP(C189,produto,2,FALSE), "Produto não encontrado")</f>
        <v> BLOCO DE PAPEL AUTO ADESIVO POST IT 38X50MM 100 FOLHAS</v>
      </c>
      <c r="E189" s="92" t="s">
        <v>528</v>
      </c>
      <c r="F189" s="93">
        <v>2.0</v>
      </c>
      <c r="G189" s="106" t="s">
        <v>573</v>
      </c>
      <c r="H189" s="85"/>
      <c r="I189" s="86"/>
      <c r="J189" s="87"/>
      <c r="K189" s="88"/>
    </row>
    <row r="190" ht="26.25" customHeight="1">
      <c r="A190" s="90">
        <v>46078.0</v>
      </c>
      <c r="B190" s="81" t="str">
        <f t="shared" si="1"/>
        <v>2026-02</v>
      </c>
      <c r="C190" s="109">
        <v>2.00036656E8</v>
      </c>
      <c r="D190" s="91" t="str">
        <f>IFERROR(VLOOKUP(C190,produto,2,FALSE), "Produto não encontrado")</f>
        <v>FITA ADESIVA TRANSPARENTE 45MM X 50M</v>
      </c>
      <c r="E190" s="92" t="s">
        <v>528</v>
      </c>
      <c r="F190" s="93">
        <v>2.0</v>
      </c>
      <c r="G190" s="106" t="s">
        <v>573</v>
      </c>
      <c r="H190" s="85"/>
      <c r="I190" s="86"/>
      <c r="J190" s="87"/>
      <c r="K190" s="88"/>
    </row>
    <row r="191" ht="26.25" customHeight="1">
      <c r="A191" s="90">
        <v>46078.0</v>
      </c>
      <c r="B191" s="81" t="str">
        <f t="shared" si="1"/>
        <v>2026-02</v>
      </c>
      <c r="C191" s="109">
        <v>2.00037413E8</v>
      </c>
      <c r="D191" s="91" t="str">
        <f>IFERROR(VLOOKUP(C191,produto,2,FALSE), "Produto não encontrado")</f>
        <v>CLIPS NIQUELADO Nº 3 COM 50 UN</v>
      </c>
      <c r="E191" s="92" t="s">
        <v>528</v>
      </c>
      <c r="F191" s="93">
        <v>3.0</v>
      </c>
      <c r="G191" s="106" t="s">
        <v>573</v>
      </c>
      <c r="H191" s="85"/>
      <c r="I191" s="86"/>
      <c r="J191" s="87"/>
      <c r="K191" s="88"/>
    </row>
    <row r="192" ht="26.25" customHeight="1">
      <c r="A192" s="90">
        <v>46078.0</v>
      </c>
      <c r="B192" s="81" t="str">
        <f t="shared" si="1"/>
        <v>2026-02</v>
      </c>
      <c r="C192" s="109">
        <v>2.0003649E8</v>
      </c>
      <c r="D192" s="91" t="str">
        <f>IFERROR(VLOOKUP(C192,produto,2,FALSE), "Produto não encontrado")</f>
        <v>CLIPS NIQUELADO Nº 2 COM 100 UN</v>
      </c>
      <c r="E192" s="92" t="s">
        <v>528</v>
      </c>
      <c r="F192" s="93">
        <v>2.0</v>
      </c>
      <c r="G192" s="106" t="s">
        <v>573</v>
      </c>
      <c r="H192" s="85"/>
      <c r="I192" s="86"/>
      <c r="J192" s="87"/>
      <c r="K192" s="88"/>
    </row>
    <row r="193" ht="26.25" customHeight="1">
      <c r="A193" s="90">
        <v>46078.0</v>
      </c>
      <c r="B193" s="81" t="str">
        <f t="shared" si="1"/>
        <v>2026-02</v>
      </c>
      <c r="C193" s="109">
        <v>2.00036489E8</v>
      </c>
      <c r="D193" s="91" t="str">
        <f>IFERROR(VLOOKUP(C193,produto,2,FALSE), "Produto não encontrado")</f>
        <v>CLIPS NIQUELADO Nº 1 COM 100 UN</v>
      </c>
      <c r="E193" s="92" t="s">
        <v>528</v>
      </c>
      <c r="F193" s="93">
        <v>3.0</v>
      </c>
      <c r="G193" s="106" t="s">
        <v>573</v>
      </c>
      <c r="H193" s="85"/>
      <c r="I193" s="86"/>
      <c r="J193" s="87"/>
      <c r="K193" s="88"/>
    </row>
    <row r="194" ht="26.25" customHeight="1">
      <c r="A194" s="90">
        <v>46078.0</v>
      </c>
      <c r="B194" s="81" t="str">
        <f t="shared" si="1"/>
        <v>2026-02</v>
      </c>
      <c r="C194" s="109">
        <v>2.00033068E8</v>
      </c>
      <c r="D194" s="91" t="str">
        <f>IFERROR(VLOOKUP(C194,produto,2,FALSE), "Produto não encontrado")</f>
        <v> PAPEL SULFITE A4 210 X 297MM 75G BRANCO MULTIUSO PACOTE COM 500 FLS</v>
      </c>
      <c r="E194" s="92" t="s">
        <v>528</v>
      </c>
      <c r="F194" s="93">
        <v>12.0</v>
      </c>
      <c r="G194" s="106" t="s">
        <v>573</v>
      </c>
      <c r="H194" s="85"/>
      <c r="I194" s="86"/>
      <c r="J194" s="87"/>
      <c r="K194" s="88"/>
    </row>
    <row r="195" ht="26.25" customHeight="1">
      <c r="A195" s="90">
        <v>46078.0</v>
      </c>
      <c r="B195" s="81" t="str">
        <f t="shared" si="1"/>
        <v>2026-02</v>
      </c>
      <c r="C195" s="109">
        <v>2.00000065E8</v>
      </c>
      <c r="D195" s="91" t="str">
        <f>IFERROR(VLOOKUP(C195,produto,2,FALSE), "Produto não encontrado")</f>
        <v>ATADURA GESSADA 20cm x 4m, cx com 20 und</v>
      </c>
      <c r="E195" s="92" t="s">
        <v>528</v>
      </c>
      <c r="F195" s="93">
        <v>3.0</v>
      </c>
      <c r="G195" s="106" t="s">
        <v>571</v>
      </c>
      <c r="H195" s="85"/>
      <c r="I195" s="86"/>
      <c r="J195" s="87"/>
      <c r="K195" s="88"/>
    </row>
    <row r="196" ht="26.25" customHeight="1">
      <c r="A196" s="90">
        <v>46078.0</v>
      </c>
      <c r="B196" s="81" t="str">
        <f t="shared" si="1"/>
        <v>2026-02</v>
      </c>
      <c r="C196" s="109">
        <v>2.0000004E8</v>
      </c>
      <c r="D196" s="91" t="str">
        <f>IFERROR(VLOOKUP(C196,produto,2,FALSE), "Produto não encontrado")</f>
        <v>ATADURA GESSADA 10cm x 3m, cx com 20 und</v>
      </c>
      <c r="E196" s="92" t="s">
        <v>528</v>
      </c>
      <c r="F196" s="93">
        <v>2.0</v>
      </c>
      <c r="G196" s="106" t="s">
        <v>571</v>
      </c>
      <c r="H196" s="85"/>
      <c r="I196" s="86"/>
      <c r="J196" s="87"/>
      <c r="K196" s="88"/>
    </row>
    <row r="197" ht="26.25" customHeight="1">
      <c r="A197" s="90">
        <v>46078.0</v>
      </c>
      <c r="B197" s="81" t="str">
        <f t="shared" si="1"/>
        <v>2026-02</v>
      </c>
      <c r="C197" s="109">
        <v>2.00000066E8</v>
      </c>
      <c r="D197" s="91" t="str">
        <f>IFERROR(VLOOKUP(C197,produto,2,FALSE), "Produto não encontrado")</f>
        <v>ATADURA GESSADA 15cm x 3m, cx com 20 und</v>
      </c>
      <c r="E197" s="92" t="s">
        <v>528</v>
      </c>
      <c r="F197" s="93">
        <v>6.0</v>
      </c>
      <c r="G197" s="106" t="s">
        <v>571</v>
      </c>
      <c r="H197" s="85"/>
      <c r="I197" s="86"/>
      <c r="J197" s="87"/>
      <c r="K197" s="88"/>
    </row>
    <row r="198" ht="26.25" customHeight="1">
      <c r="A198" s="90">
        <v>46078.0</v>
      </c>
      <c r="B198" s="81" t="str">
        <f t="shared" si="1"/>
        <v>2026-02</v>
      </c>
      <c r="C198" s="109">
        <v>2.00085838E8</v>
      </c>
      <c r="D198" s="91" t="str">
        <f>IFERROR(VLOOKUP(C198,produto,2,FALSE), "Produto não encontrado")</f>
        <v>ARTIC JOELHO TRAVA ANEL M2 20MM D/E/UNCIO</v>
      </c>
      <c r="E198" s="92" t="s">
        <v>528</v>
      </c>
      <c r="F198" s="93">
        <v>4.0</v>
      </c>
      <c r="G198" s="106" t="s">
        <v>571</v>
      </c>
      <c r="H198" s="85"/>
      <c r="I198" s="86"/>
      <c r="J198" s="87"/>
      <c r="K198" s="88"/>
    </row>
    <row r="199" ht="26.25" customHeight="1">
      <c r="A199" s="90">
        <v>46078.0</v>
      </c>
      <c r="B199" s="81" t="str">
        <f t="shared" si="1"/>
        <v>2026-02</v>
      </c>
      <c r="C199" s="109">
        <v>2.00085881E8</v>
      </c>
      <c r="D199" s="91" t="str">
        <f>IFERROR(VLOOKUP(C199,produto,2,FALSE), "Produto não encontrado")</f>
        <v>HASTE DE ALUMINIO LONDO D/E/20</v>
      </c>
      <c r="E199" s="92" t="s">
        <v>528</v>
      </c>
      <c r="F199" s="93">
        <v>3.0</v>
      </c>
      <c r="G199" s="106" t="s">
        <v>571</v>
      </c>
      <c r="H199" s="85"/>
      <c r="I199" s="86"/>
      <c r="J199" s="87"/>
      <c r="K199" s="88"/>
    </row>
    <row r="200" ht="26.25" customHeight="1">
      <c r="A200" s="90">
        <v>46058.0</v>
      </c>
      <c r="B200" s="81" t="str">
        <f t="shared" si="1"/>
        <v>2026-02</v>
      </c>
      <c r="C200" s="109">
        <v>2.00037491E8</v>
      </c>
      <c r="D200" s="91" t="str">
        <f>IFERROR(VLOOKUP(C200,produto,2,FALSE), "Produto não encontrado")</f>
        <v>MASCARA CIRURGICA TRIPLA</v>
      </c>
      <c r="E200" s="92" t="s">
        <v>528</v>
      </c>
      <c r="F200" s="93">
        <v>1.0</v>
      </c>
      <c r="G200" s="106" t="s">
        <v>573</v>
      </c>
      <c r="H200" s="85"/>
      <c r="I200" s="86"/>
      <c r="J200" s="87"/>
      <c r="K200" s="88"/>
    </row>
    <row r="201" ht="26.25" customHeight="1">
      <c r="A201" s="90">
        <v>46058.0</v>
      </c>
      <c r="B201" s="81" t="str">
        <f t="shared" si="1"/>
        <v>2026-02</v>
      </c>
      <c r="C201" s="109">
        <v>2.00033068E8</v>
      </c>
      <c r="D201" s="91" t="str">
        <f>IFERROR(VLOOKUP(C201,produto,2,FALSE), "Produto não encontrado")</f>
        <v> PAPEL SULFITE A4 210 X 297MM 75G BRANCO MULTIUSO PACOTE COM 500 FLS</v>
      </c>
      <c r="E201" s="92" t="s">
        <v>526</v>
      </c>
      <c r="F201" s="93">
        <v>6.0</v>
      </c>
      <c r="G201" s="106" t="s">
        <v>574</v>
      </c>
      <c r="H201" s="85"/>
      <c r="I201" s="86"/>
      <c r="J201" s="87"/>
      <c r="K201" s="88"/>
    </row>
    <row r="202" ht="26.25" customHeight="1">
      <c r="A202" s="90">
        <v>46058.0</v>
      </c>
      <c r="B202" s="81" t="str">
        <f t="shared" si="1"/>
        <v>2026-02</v>
      </c>
      <c r="C202" s="109">
        <v>2.00033068E8</v>
      </c>
      <c r="D202" s="91" t="str">
        <f>IFERROR(VLOOKUP(C202,produto,2,FALSE), "Produto não encontrado")</f>
        <v> PAPEL SULFITE A4 210 X 297MM 75G BRANCO MULTIUSO PACOTE COM 500 FLS</v>
      </c>
      <c r="E202" s="92" t="s">
        <v>526</v>
      </c>
      <c r="F202" s="93">
        <v>5.0</v>
      </c>
      <c r="G202" s="106" t="s">
        <v>574</v>
      </c>
      <c r="H202" s="85"/>
      <c r="I202" s="86"/>
      <c r="J202" s="87"/>
      <c r="K202" s="88"/>
    </row>
    <row r="203" ht="26.25" customHeight="1">
      <c r="A203" s="90">
        <v>46078.0</v>
      </c>
      <c r="B203" s="81" t="str">
        <f t="shared" si="1"/>
        <v>2026-02</v>
      </c>
      <c r="C203" s="109">
        <v>2.00036752E8</v>
      </c>
      <c r="D203" s="91" t="str">
        <f>IFERROR(VLOOKUP(C203,produto,2,FALSE), "Produto não encontrado")</f>
        <v>ALCOOL 1LT</v>
      </c>
      <c r="E203" s="92" t="s">
        <v>528</v>
      </c>
      <c r="F203" s="93">
        <v>3.0</v>
      </c>
      <c r="G203" s="106" t="s">
        <v>573</v>
      </c>
      <c r="H203" s="85"/>
      <c r="I203" s="86"/>
      <c r="J203" s="87"/>
      <c r="K203" s="88"/>
    </row>
    <row r="204" ht="26.25" customHeight="1">
      <c r="A204" s="90">
        <v>46072.0</v>
      </c>
      <c r="B204" s="81" t="str">
        <f t="shared" si="1"/>
        <v>2026-02</v>
      </c>
      <c r="C204" s="107">
        <v>2.00046153E8</v>
      </c>
      <c r="D204" s="91" t="str">
        <f>IFERROR(VLOOKUP(C204,produto,2,FALSE), "Produto não encontrado")</f>
        <v>ALMOFADA DE AR PNEUMATICA COM VALVULA DE REAJUSTE</v>
      </c>
      <c r="E204" s="92" t="s">
        <v>526</v>
      </c>
      <c r="F204" s="93">
        <v>30.0</v>
      </c>
      <c r="G204" s="106" t="s">
        <v>301</v>
      </c>
      <c r="H204" s="85"/>
      <c r="I204" s="86"/>
      <c r="J204" s="87"/>
      <c r="K204" s="88"/>
    </row>
    <row r="205" ht="26.25" customHeight="1">
      <c r="A205" s="90">
        <v>45994.0</v>
      </c>
      <c r="B205" s="81" t="str">
        <f t="shared" si="1"/>
        <v>2025-12</v>
      </c>
      <c r="C205" s="107">
        <v>2.00037491E8</v>
      </c>
      <c r="D205" s="91" t="str">
        <f>IFERROR(VLOOKUP(C205,produto,2,FALSE), "Produto não encontrado")</f>
        <v>MASCARA CIRURGICA TRIPLA</v>
      </c>
      <c r="E205" s="92" t="s">
        <v>528</v>
      </c>
      <c r="F205" s="93">
        <v>2.0</v>
      </c>
      <c r="G205" s="106" t="s">
        <v>573</v>
      </c>
      <c r="H205" s="85"/>
      <c r="I205" s="86"/>
      <c r="J205" s="87"/>
      <c r="K205" s="88"/>
    </row>
    <row r="206" ht="26.25" customHeight="1">
      <c r="A206" s="90">
        <v>45994.0</v>
      </c>
      <c r="B206" s="81" t="str">
        <f t="shared" si="1"/>
        <v>2025-12</v>
      </c>
      <c r="C206" s="107">
        <v>2.00000045E8</v>
      </c>
      <c r="D206" s="91" t="str">
        <f>IFERROR(VLOOKUP(C206,produto,2,FALSE), "Produto não encontrado")</f>
        <v>Malha Tubular de Algodão 10cm x 15m</v>
      </c>
      <c r="E206" s="92" t="s">
        <v>528</v>
      </c>
      <c r="F206" s="93">
        <v>1.0</v>
      </c>
      <c r="G206" s="106" t="s">
        <v>575</v>
      </c>
      <c r="H206" s="85"/>
      <c r="I206" s="86"/>
      <c r="J206" s="87"/>
      <c r="K206" s="88"/>
    </row>
    <row r="207" ht="26.25" customHeight="1">
      <c r="A207" s="90">
        <v>45980.0</v>
      </c>
      <c r="B207" s="81" t="str">
        <f t="shared" si="1"/>
        <v>2025-11</v>
      </c>
      <c r="C207" s="107">
        <v>2.00000042E8</v>
      </c>
      <c r="D207" s="91" t="str">
        <f>IFERROR(VLOOKUP(C207,produto,2,FALSE), "Produto não encontrado")</f>
        <v>CHAPA polipropileno ortopédico natural Medidas 2,000x1000x3mm</v>
      </c>
      <c r="E207" s="92" t="s">
        <v>526</v>
      </c>
      <c r="F207" s="93">
        <v>30.0</v>
      </c>
      <c r="G207" s="106" t="s">
        <v>576</v>
      </c>
      <c r="H207" s="85"/>
      <c r="I207" s="86"/>
      <c r="J207" s="87"/>
      <c r="K207" s="88"/>
    </row>
    <row r="208" ht="26.25" customHeight="1">
      <c r="A208" s="90">
        <v>45980.0</v>
      </c>
      <c r="B208" s="81" t="str">
        <f t="shared" si="1"/>
        <v>2025-11</v>
      </c>
      <c r="C208" s="107">
        <v>2.00000043E8</v>
      </c>
      <c r="D208" s="91" t="str">
        <f>IFERROR(VLOOKUP(C208,produto,2,FALSE), "Produto não encontrado")</f>
        <v>CHAPA polipropileno ortopédico natural Medidas 2,000x1000x4mm</v>
      </c>
      <c r="E208" s="92" t="s">
        <v>526</v>
      </c>
      <c r="F208" s="93">
        <v>30.0</v>
      </c>
      <c r="G208" s="106" t="s">
        <v>576</v>
      </c>
      <c r="H208" s="85"/>
      <c r="I208" s="86"/>
      <c r="J208" s="87"/>
      <c r="K208" s="88"/>
    </row>
    <row r="209" ht="26.25" customHeight="1">
      <c r="A209" s="90">
        <v>45980.0</v>
      </c>
      <c r="B209" s="81" t="str">
        <f t="shared" si="1"/>
        <v>2025-11</v>
      </c>
      <c r="C209" s="107">
        <v>2.00000044E8</v>
      </c>
      <c r="D209" s="91" t="str">
        <f>IFERROR(VLOOKUP(C209,produto,2,FALSE), "Produto não encontrado")</f>
        <v>CHAPA polipropileno ortopédico natural Medidas 2,000x1000x5mm</v>
      </c>
      <c r="E209" s="92" t="s">
        <v>526</v>
      </c>
      <c r="F209" s="93">
        <v>30.0</v>
      </c>
      <c r="G209" s="106" t="s">
        <v>576</v>
      </c>
      <c r="H209" s="85"/>
      <c r="I209" s="86"/>
      <c r="J209" s="87"/>
      <c r="K209" s="88"/>
    </row>
    <row r="210" ht="26.25" customHeight="1">
      <c r="A210" s="90">
        <v>45993.0</v>
      </c>
      <c r="B210" s="81" t="str">
        <f t="shared" si="1"/>
        <v>2025-12</v>
      </c>
      <c r="C210" s="107">
        <v>2.00000076E8</v>
      </c>
      <c r="D210" s="91" t="str">
        <f>IFERROR(VLOOKUP(C210,produto,2,FALSE), "Produto não encontrado")</f>
        <v>Courvin Sintetico Reforçado C/ Nylon - Cor Bege</v>
      </c>
      <c r="E210" s="92" t="s">
        <v>528</v>
      </c>
      <c r="F210" s="93">
        <v>5.0</v>
      </c>
      <c r="G210" s="106" t="s">
        <v>571</v>
      </c>
      <c r="H210" s="97"/>
      <c r="I210" s="86"/>
      <c r="J210" s="87"/>
      <c r="K210" s="88"/>
    </row>
    <row r="211" ht="26.25" customHeight="1">
      <c r="A211" s="90">
        <v>45993.0</v>
      </c>
      <c r="B211" s="81" t="str">
        <f t="shared" si="1"/>
        <v>2025-12</v>
      </c>
      <c r="C211" s="107">
        <v>2.00000067E8</v>
      </c>
      <c r="D211" s="91" t="str">
        <f>IFERROR(VLOOKUP(C211,produto,2,FALSE), "Produto não encontrado")</f>
        <v>PLACA SOLA EVA MIOLO COMIM EXPAMDIDO DUREZA 60 PRETO 6mm (84 de comprimento)</v>
      </c>
      <c r="E211" s="92" t="s">
        <v>526</v>
      </c>
      <c r="F211" s="93">
        <v>9.0</v>
      </c>
      <c r="G211" s="101" t="s">
        <v>577</v>
      </c>
      <c r="H211" s="97"/>
      <c r="I211" s="86"/>
      <c r="J211" s="87"/>
      <c r="K211" s="88"/>
    </row>
    <row r="212" ht="26.25" customHeight="1">
      <c r="A212" s="90">
        <v>45993.0</v>
      </c>
      <c r="B212" s="81" t="str">
        <f t="shared" si="1"/>
        <v>2025-12</v>
      </c>
      <c r="C212" s="107">
        <v>2.00000068E8</v>
      </c>
      <c r="D212" s="91" t="str">
        <f>IFERROR(VLOOKUP(C212,produto,2,FALSE), "Produto não encontrado")</f>
        <v>COB. EVA 1,5 mm OCRE PERFUROS</v>
      </c>
      <c r="E212" s="92" t="s">
        <v>526</v>
      </c>
      <c r="F212" s="93">
        <v>1.0</v>
      </c>
      <c r="G212" s="101" t="s">
        <v>577</v>
      </c>
      <c r="H212" s="97"/>
      <c r="I212" s="86"/>
      <c r="J212" s="87"/>
      <c r="K212" s="88"/>
    </row>
    <row r="213" ht="26.25" customHeight="1">
      <c r="A213" s="90">
        <v>45993.0</v>
      </c>
      <c r="B213" s="81" t="str">
        <f t="shared" si="1"/>
        <v>2025-12</v>
      </c>
      <c r="C213" s="107">
        <v>2.00000069E8</v>
      </c>
      <c r="D213" s="91" t="str">
        <f>IFERROR(VLOOKUP(C213,produto,2,FALSE), "Produto não encontrado")</f>
        <v>COB. EVA 2,5 mm OCRE PERFUROS</v>
      </c>
      <c r="E213" s="92" t="s">
        <v>526</v>
      </c>
      <c r="F213" s="93">
        <v>1.0</v>
      </c>
      <c r="G213" s="101" t="s">
        <v>577</v>
      </c>
      <c r="H213" s="97"/>
      <c r="I213" s="86"/>
      <c r="J213" s="87"/>
      <c r="K213" s="88"/>
    </row>
    <row r="214" ht="26.25" customHeight="1">
      <c r="A214" s="90">
        <v>45993.0</v>
      </c>
      <c r="B214" s="81" t="str">
        <f t="shared" si="1"/>
        <v>2025-12</v>
      </c>
      <c r="C214" s="107">
        <v>2.0000007E8</v>
      </c>
      <c r="D214" s="91" t="str">
        <f>IFERROR(VLOOKUP(C214,produto,2,FALSE), "Produto não encontrado")</f>
        <v>COB. EVA 3 mm PERFURADA OCRE G</v>
      </c>
      <c r="E214" s="92" t="s">
        <v>526</v>
      </c>
      <c r="F214" s="93">
        <v>1.0</v>
      </c>
      <c r="G214" s="101" t="s">
        <v>577</v>
      </c>
      <c r="H214" s="97"/>
      <c r="I214" s="86"/>
      <c r="J214" s="87"/>
      <c r="K214" s="88"/>
    </row>
    <row r="215" ht="26.25" customHeight="1">
      <c r="A215" s="90">
        <v>45993.0</v>
      </c>
      <c r="B215" s="81" t="str">
        <f t="shared" si="1"/>
        <v>2025-12</v>
      </c>
      <c r="C215" s="107">
        <v>2.00000071E8</v>
      </c>
      <c r="D215" s="91" t="str">
        <f>IFERROR(VLOOKUP(C215,produto,2,FALSE), "Produto não encontrado")</f>
        <v>PLACA SOLA EVA MIOLO COMUM  EXPANDIDO DUREZA 40 PRETO 6mm (115 de comprimento)</v>
      </c>
      <c r="E215" s="92" t="s">
        <v>526</v>
      </c>
      <c r="F215" s="93">
        <v>10.0</v>
      </c>
      <c r="G215" s="101" t="s">
        <v>577</v>
      </c>
      <c r="H215" s="97"/>
      <c r="I215" s="86"/>
      <c r="J215" s="87"/>
      <c r="K215" s="88"/>
    </row>
    <row r="216" ht="26.25" customHeight="1">
      <c r="A216" s="90">
        <v>45993.0</v>
      </c>
      <c r="B216" s="81" t="str">
        <f t="shared" si="1"/>
        <v>2025-12</v>
      </c>
      <c r="C216" s="107">
        <v>2.00000072E8</v>
      </c>
      <c r="D216" s="91" t="str">
        <f>IFERROR(VLOOKUP(C216,produto,2,FALSE), "Produto não encontrado")</f>
        <v>PLACA SOLA EVA MIOLO COMUM  EXPANDIDO DUREZA 60 BEGE 6mm (110 de comprimento)</v>
      </c>
      <c r="E216" s="92" t="s">
        <v>526</v>
      </c>
      <c r="F216" s="93">
        <v>5.0</v>
      </c>
      <c r="G216" s="101" t="s">
        <v>577</v>
      </c>
      <c r="H216" s="97"/>
      <c r="I216" s="86"/>
      <c r="J216" s="87"/>
      <c r="K216" s="88"/>
    </row>
    <row r="217" ht="26.25" customHeight="1">
      <c r="A217" s="90">
        <v>45993.0</v>
      </c>
      <c r="B217" s="81" t="str">
        <f t="shared" si="1"/>
        <v>2025-12</v>
      </c>
      <c r="C217" s="103">
        <v>2.00000076E8</v>
      </c>
      <c r="D217" s="91" t="str">
        <f>IFERROR(VLOOKUP(C217,produto,2,FALSE), "Produto não encontrado")</f>
        <v>Courvin Sintetico Reforçado C/ Nylon - Cor Bege</v>
      </c>
      <c r="E217" s="92" t="s">
        <v>526</v>
      </c>
      <c r="F217" s="93">
        <v>5.0</v>
      </c>
      <c r="G217" s="101" t="s">
        <v>577</v>
      </c>
      <c r="H217" s="97"/>
      <c r="I217" s="86"/>
      <c r="J217" s="87"/>
      <c r="K217" s="88"/>
    </row>
    <row r="218" ht="26.25" customHeight="1">
      <c r="A218" s="90">
        <v>45992.0</v>
      </c>
      <c r="B218" s="81" t="str">
        <f t="shared" si="1"/>
        <v>2025-12</v>
      </c>
      <c r="C218" s="107">
        <v>2.00000052E8</v>
      </c>
      <c r="D218" s="91" t="str">
        <f>IFERROR(VLOOKUP(C218,produto,2,FALSE), "Produto não encontrado")</f>
        <v>Tercido Navalhado Verde</v>
      </c>
      <c r="E218" s="92" t="s">
        <v>528</v>
      </c>
      <c r="F218" s="93">
        <v>2.0</v>
      </c>
      <c r="G218" s="106" t="s">
        <v>568</v>
      </c>
      <c r="H218" s="97" t="s">
        <v>578</v>
      </c>
      <c r="I218" s="86"/>
      <c r="J218" s="87"/>
      <c r="K218" s="88"/>
    </row>
    <row r="219" ht="26.25" customHeight="1">
      <c r="A219" s="90">
        <v>45987.0</v>
      </c>
      <c r="B219" s="81" t="str">
        <f t="shared" si="1"/>
        <v>2025-11</v>
      </c>
      <c r="C219" s="108" t="s">
        <v>206</v>
      </c>
      <c r="D219" s="91" t="str">
        <f>IFERROR(VLOOKUP(C219,produto,2,FALSE), "Produto não encontrado")</f>
        <v>PLACA TERMOPLASTICA - ORFIT ECO BLACK NS 45 x 60cm x 3.2mm MINI Perforated</v>
      </c>
      <c r="E219" s="92" t="s">
        <v>528</v>
      </c>
      <c r="F219" s="93">
        <v>1.0</v>
      </c>
      <c r="G219" s="101" t="s">
        <v>579</v>
      </c>
      <c r="H219" s="97"/>
      <c r="I219" s="86"/>
      <c r="J219" s="87"/>
      <c r="K219" s="88"/>
    </row>
    <row r="220" ht="26.25" customHeight="1">
      <c r="A220" s="90">
        <v>45986.0</v>
      </c>
      <c r="B220" s="81" t="str">
        <f t="shared" si="1"/>
        <v>2025-11</v>
      </c>
      <c r="C220" s="107">
        <v>2.00000052E8</v>
      </c>
      <c r="D220" s="91" t="str">
        <f>IFERROR(VLOOKUP(C220,produto,2,FALSE), "Produto não encontrado")</f>
        <v>Tercido Navalhado Verde</v>
      </c>
      <c r="E220" s="92" t="s">
        <v>528</v>
      </c>
      <c r="F220" s="93">
        <v>1.0</v>
      </c>
      <c r="G220" s="101" t="s">
        <v>567</v>
      </c>
      <c r="H220" s="97" t="s">
        <v>580</v>
      </c>
      <c r="I220" s="86"/>
      <c r="J220" s="87"/>
      <c r="K220" s="88"/>
    </row>
    <row r="221" ht="26.25" customHeight="1">
      <c r="A221" s="90">
        <v>45985.0</v>
      </c>
      <c r="B221" s="81" t="str">
        <f t="shared" si="1"/>
        <v>2025-11</v>
      </c>
      <c r="C221" s="108" t="s">
        <v>211</v>
      </c>
      <c r="D221" s="91" t="str">
        <f>IFERROR(VLOOKUP(C221,produto,2,FALSE), "Produto não encontrado")</f>
        <v>PLACA TERMOPLASTICA - ORFIT ECO NATUREL 45 x 60cm x 3.2mm MINI Perforated</v>
      </c>
      <c r="E221" s="92" t="s">
        <v>528</v>
      </c>
      <c r="F221" s="93">
        <v>3.0</v>
      </c>
      <c r="G221" s="101" t="s">
        <v>579</v>
      </c>
      <c r="H221" s="97"/>
      <c r="I221" s="86"/>
      <c r="J221" s="87"/>
      <c r="K221" s="88"/>
    </row>
    <row r="222" ht="26.25" customHeight="1">
      <c r="A222" s="90">
        <v>45980.0</v>
      </c>
      <c r="B222" s="81" t="str">
        <f t="shared" si="1"/>
        <v>2025-11</v>
      </c>
      <c r="C222" s="107">
        <v>2.00000059E8</v>
      </c>
      <c r="D222" s="91" t="str">
        <f>IFERROR(VLOOKUP(C222,produto,2,FALSE), "Produto não encontrado")</f>
        <v>VELCRO FEMEA 50mm VINHO V328</v>
      </c>
      <c r="E222" s="92" t="s">
        <v>528</v>
      </c>
      <c r="F222" s="93">
        <v>1.0</v>
      </c>
      <c r="G222" s="101" t="s">
        <v>579</v>
      </c>
      <c r="H222" s="97"/>
      <c r="I222" s="86"/>
      <c r="J222" s="87"/>
      <c r="K222" s="88"/>
    </row>
    <row r="223" ht="26.25" customHeight="1">
      <c r="A223" s="90">
        <v>45979.0</v>
      </c>
      <c r="B223" s="81" t="str">
        <f t="shared" si="1"/>
        <v>2025-11</v>
      </c>
      <c r="C223" s="107">
        <v>2.0008597E8</v>
      </c>
      <c r="D223" s="91" t="str">
        <f>IFERROR(VLOOKUP(C223,produto,2,FALSE), "Produto não encontrado")</f>
        <v>COLA DE CONTATO MULTIUSO DE 2,8KG</v>
      </c>
      <c r="E223" s="92" t="s">
        <v>528</v>
      </c>
      <c r="F223" s="93">
        <v>1.0</v>
      </c>
      <c r="G223" s="101" t="s">
        <v>579</v>
      </c>
      <c r="H223" s="97"/>
      <c r="I223" s="86"/>
      <c r="J223" s="87"/>
      <c r="K223" s="88"/>
    </row>
    <row r="224" ht="26.25" customHeight="1">
      <c r="A224" s="90">
        <v>45979.0</v>
      </c>
      <c r="B224" s="81" t="str">
        <f t="shared" si="1"/>
        <v>2025-11</v>
      </c>
      <c r="C224" s="107">
        <v>2.00000063E8</v>
      </c>
      <c r="D224" s="91" t="str">
        <f>IFERROR(VLOOKUP(C224,produto,2,FALSE), "Produto não encontrado")</f>
        <v>VELCRO FEMEA 50mm PRETO V330</v>
      </c>
      <c r="E224" s="92" t="s">
        <v>528</v>
      </c>
      <c r="F224" s="93">
        <v>1.0</v>
      </c>
      <c r="G224" s="101" t="s">
        <v>579</v>
      </c>
      <c r="H224" s="97"/>
      <c r="I224" s="86"/>
      <c r="J224" s="87"/>
      <c r="K224" s="88"/>
    </row>
    <row r="225" ht="26.25" customHeight="1">
      <c r="A225" s="90">
        <v>45979.0</v>
      </c>
      <c r="B225" s="81" t="str">
        <f t="shared" si="1"/>
        <v>2025-11</v>
      </c>
      <c r="C225" s="107">
        <v>2.00000045E8</v>
      </c>
      <c r="D225" s="91" t="str">
        <f>IFERROR(VLOOKUP(C225,produto,2,FALSE), "Produto não encontrado")</f>
        <v>Malha Tubular de Algodão 10cm x 15m</v>
      </c>
      <c r="E225" s="92" t="s">
        <v>528</v>
      </c>
      <c r="F225" s="93">
        <v>1.0</v>
      </c>
      <c r="G225" s="106" t="s">
        <v>575</v>
      </c>
      <c r="H225" s="97"/>
      <c r="I225" s="86"/>
      <c r="J225" s="87"/>
      <c r="K225" s="88"/>
    </row>
    <row r="226" ht="26.25" customHeight="1">
      <c r="A226" s="90">
        <v>45972.0</v>
      </c>
      <c r="B226" s="81" t="str">
        <f t="shared" si="1"/>
        <v>2025-11</v>
      </c>
      <c r="C226" s="107">
        <v>2.00135429E8</v>
      </c>
      <c r="D226" s="91" t="str">
        <f>IFERROR(VLOOKUP(C226,produto,2,FALSE), "Produto não encontrado")</f>
        <v>NYLON 900 PVC PRETO LARG 1.50 (RL)</v>
      </c>
      <c r="E226" s="92" t="s">
        <v>528</v>
      </c>
      <c r="F226" s="93">
        <v>2.0</v>
      </c>
      <c r="G226" s="101" t="s">
        <v>581</v>
      </c>
      <c r="H226" s="97"/>
      <c r="I226" s="86"/>
      <c r="J226" s="87"/>
      <c r="K226" s="88"/>
    </row>
    <row r="227" ht="26.25" customHeight="1">
      <c r="A227" s="90">
        <v>45972.0</v>
      </c>
      <c r="B227" s="81" t="str">
        <f t="shared" si="1"/>
        <v>2025-11</v>
      </c>
      <c r="C227" s="107">
        <v>2.00036618E8</v>
      </c>
      <c r="D227" s="91" t="str">
        <f>IFERROR(VLOOKUP(C227,produto,2,FALSE), "Produto não encontrado")</f>
        <v>ESPONJA SINTETICA DUPLA FACE 10X7X2</v>
      </c>
      <c r="E227" s="92" t="s">
        <v>528</v>
      </c>
      <c r="F227" s="93">
        <v>1.0</v>
      </c>
      <c r="G227" s="101" t="s">
        <v>582</v>
      </c>
      <c r="H227" s="97"/>
      <c r="I227" s="86"/>
      <c r="J227" s="87"/>
      <c r="K227" s="88"/>
    </row>
    <row r="228" ht="26.25" customHeight="1">
      <c r="A228" s="90">
        <v>45971.0</v>
      </c>
      <c r="B228" s="81" t="str">
        <f t="shared" si="1"/>
        <v>2025-11</v>
      </c>
      <c r="C228" s="107">
        <v>2.00036189E8</v>
      </c>
      <c r="D228" s="91" t="str">
        <f>IFERROR(VLOOKUP(C228,produto,2,FALSE), "Produto não encontrado")</f>
        <v>COPO DESCARTAVEL 180ML</v>
      </c>
      <c r="E228" s="92" t="s">
        <v>528</v>
      </c>
      <c r="F228" s="93">
        <v>2.0</v>
      </c>
      <c r="G228" s="106" t="s">
        <v>575</v>
      </c>
      <c r="H228" s="97"/>
      <c r="I228" s="86"/>
      <c r="J228" s="87"/>
      <c r="K228" s="88"/>
    </row>
    <row r="229" ht="26.25" customHeight="1">
      <c r="A229" s="90">
        <v>45971.0</v>
      </c>
      <c r="B229" s="81" t="str">
        <f t="shared" si="1"/>
        <v>2025-11</v>
      </c>
      <c r="C229" s="107">
        <v>2.00000039E8</v>
      </c>
      <c r="D229" s="91" t="str">
        <f>IFERROR(VLOOKUP(C229,produto,2,FALSE), "Produto não encontrado")</f>
        <v>PASSADOR OVAL FERRO (NIVELADOR)  50MM</v>
      </c>
      <c r="E229" s="92" t="s">
        <v>528</v>
      </c>
      <c r="F229" s="93">
        <v>4.0</v>
      </c>
      <c r="G229" s="106" t="s">
        <v>575</v>
      </c>
      <c r="H229" s="97"/>
      <c r="I229" s="86"/>
      <c r="J229" s="87"/>
      <c r="K229" s="88"/>
    </row>
    <row r="230" ht="26.25" customHeight="1">
      <c r="A230" s="90">
        <v>45971.0</v>
      </c>
      <c r="B230" s="81" t="str">
        <f t="shared" si="1"/>
        <v>2025-11</v>
      </c>
      <c r="C230" s="107">
        <v>2.00004223E8</v>
      </c>
      <c r="D230" s="91" t="str">
        <f>IFERROR(VLOOKUP(C230,produto,2,FALSE), "Produto não encontrado")</f>
        <v>INJETADO FECHO ENGATE 25MM</v>
      </c>
      <c r="E230" s="92" t="s">
        <v>528</v>
      </c>
      <c r="F230" s="93">
        <v>6.0</v>
      </c>
      <c r="G230" s="106" t="s">
        <v>575</v>
      </c>
      <c r="H230" s="97"/>
      <c r="I230" s="86"/>
      <c r="J230" s="87"/>
      <c r="K230" s="88"/>
    </row>
    <row r="231" ht="26.25" customHeight="1">
      <c r="A231" s="90">
        <v>45971.0</v>
      </c>
      <c r="B231" s="81" t="str">
        <f t="shared" si="1"/>
        <v>2025-11</v>
      </c>
      <c r="C231" s="107">
        <v>2.00033068E8</v>
      </c>
      <c r="D231" s="91" t="str">
        <f>IFERROR(VLOOKUP(C231,produto,2,FALSE), "Produto não encontrado")</f>
        <v> PAPEL SULFITE A4 210 X 297MM 75G BRANCO MULTIUSO PACOTE COM 500 FLS</v>
      </c>
      <c r="E231" s="92" t="s">
        <v>528</v>
      </c>
      <c r="F231" s="93">
        <v>1.0</v>
      </c>
      <c r="G231" s="106" t="s">
        <v>547</v>
      </c>
      <c r="H231" s="97"/>
      <c r="I231" s="86"/>
      <c r="J231" s="87"/>
      <c r="K231" s="88"/>
    </row>
    <row r="232" ht="26.25" customHeight="1">
      <c r="A232" s="90">
        <v>45966.0</v>
      </c>
      <c r="B232" s="81" t="str">
        <f t="shared" si="1"/>
        <v>2025-11</v>
      </c>
      <c r="C232" s="107">
        <v>2.00000045E8</v>
      </c>
      <c r="D232" s="91" t="str">
        <f>IFERROR(VLOOKUP(C232,produto,2,FALSE), "Produto não encontrado")</f>
        <v>Malha Tubular de Algodão 10cm x 15m</v>
      </c>
      <c r="E232" s="92" t="s">
        <v>528</v>
      </c>
      <c r="F232" s="93">
        <v>1.0</v>
      </c>
      <c r="G232" s="106" t="s">
        <v>568</v>
      </c>
      <c r="H232" s="97"/>
      <c r="I232" s="86"/>
      <c r="J232" s="87"/>
      <c r="K232" s="88"/>
    </row>
    <row r="233" ht="26.25" customHeight="1">
      <c r="A233" s="90">
        <v>45965.0</v>
      </c>
      <c r="B233" s="81" t="str">
        <f t="shared" si="1"/>
        <v>2025-11</v>
      </c>
      <c r="C233" s="107">
        <v>2.00082939E8</v>
      </c>
      <c r="D233" s="91" t="str">
        <f>IFERROR(VLOOKUP(C233,produto,2,FALSE), "Produto não encontrado")</f>
        <v> BLOCO DE PAPEL AUTO ADESIVO POST IT 38X50MM 100 FOLHAS</v>
      </c>
      <c r="E233" s="92" t="s">
        <v>526</v>
      </c>
      <c r="F233" s="93">
        <v>2.0</v>
      </c>
      <c r="G233" s="101" t="s">
        <v>11</v>
      </c>
      <c r="H233" s="97"/>
      <c r="I233" s="86"/>
      <c r="J233" s="87"/>
      <c r="K233" s="88"/>
    </row>
    <row r="234" ht="26.25" customHeight="1">
      <c r="A234" s="90">
        <v>45965.0</v>
      </c>
      <c r="B234" s="81" t="str">
        <f t="shared" si="1"/>
        <v>2025-11</v>
      </c>
      <c r="C234" s="107">
        <v>2.0008183E8</v>
      </c>
      <c r="D234" s="91" t="str">
        <f>IFERROR(VLOOKUP(C234,produto,2,FALSE), "Produto não encontrado")</f>
        <v>BLOCO DE ANOTAÇÃO AUTOADESIVO 76 X 102 MM COM 100 FOLHAS</v>
      </c>
      <c r="E234" s="92" t="s">
        <v>526</v>
      </c>
      <c r="F234" s="93">
        <v>1.0</v>
      </c>
      <c r="G234" s="101" t="s">
        <v>11</v>
      </c>
      <c r="H234" s="97"/>
      <c r="I234" s="86"/>
      <c r="J234" s="87"/>
      <c r="K234" s="88"/>
    </row>
    <row r="235" ht="26.25" customHeight="1">
      <c r="A235" s="90">
        <v>45965.0</v>
      </c>
      <c r="B235" s="81" t="str">
        <f t="shared" si="1"/>
        <v>2025-11</v>
      </c>
      <c r="C235" s="107">
        <v>2.0007495E8</v>
      </c>
      <c r="D235" s="91" t="str">
        <f>IFERROR(VLOOKUP(C235,produto,2,FALSE), "Produto não encontrado")</f>
        <v>PILHA ALCALINA AA 1,5V COM 4 UNIDADES</v>
      </c>
      <c r="E235" s="92" t="s">
        <v>526</v>
      </c>
      <c r="F235" s="93">
        <v>5.0</v>
      </c>
      <c r="G235" s="101" t="s">
        <v>11</v>
      </c>
      <c r="H235" s="97"/>
      <c r="I235" s="86"/>
      <c r="J235" s="87"/>
      <c r="K235" s="88"/>
    </row>
    <row r="236" ht="26.25" customHeight="1">
      <c r="A236" s="90">
        <v>45965.0</v>
      </c>
      <c r="B236" s="81" t="str">
        <f t="shared" si="1"/>
        <v>2025-11</v>
      </c>
      <c r="C236" s="107">
        <v>2.00037491E8</v>
      </c>
      <c r="D236" s="91" t="str">
        <f>IFERROR(VLOOKUP(C236,produto,2,FALSE), "Produto não encontrado")</f>
        <v>MASCARA CIRURGICA TRIPLA</v>
      </c>
      <c r="E236" s="92" t="s">
        <v>526</v>
      </c>
      <c r="F236" s="93">
        <v>1.0</v>
      </c>
      <c r="G236" s="101" t="s">
        <v>11</v>
      </c>
      <c r="H236" s="97"/>
      <c r="I236" s="86"/>
      <c r="J236" s="87"/>
      <c r="K236" s="88"/>
    </row>
    <row r="237" ht="26.25" customHeight="1">
      <c r="A237" s="90">
        <v>45965.0</v>
      </c>
      <c r="B237" s="81" t="str">
        <f t="shared" si="1"/>
        <v>2025-11</v>
      </c>
      <c r="C237" s="107">
        <v>2.00076172E8</v>
      </c>
      <c r="D237" s="91" t="str">
        <f>IFERROR(VLOOKUP(C237,produto,2,FALSE), "Produto não encontrado")</f>
        <v>LUVA DE VINIL G(9) COM 100 UND</v>
      </c>
      <c r="E237" s="92" t="s">
        <v>526</v>
      </c>
      <c r="F237" s="93">
        <v>1.0</v>
      </c>
      <c r="G237" s="101" t="s">
        <v>11</v>
      </c>
      <c r="H237" s="97"/>
      <c r="I237" s="86"/>
      <c r="J237" s="87"/>
      <c r="K237" s="88"/>
    </row>
    <row r="238" ht="26.25" customHeight="1">
      <c r="A238" s="90">
        <v>45965.0</v>
      </c>
      <c r="B238" s="81" t="str">
        <f t="shared" si="1"/>
        <v>2025-11</v>
      </c>
      <c r="C238" s="107">
        <v>2.00061185E8</v>
      </c>
      <c r="D238" s="91" t="str">
        <f>IFERROR(VLOOKUP(C238,produto,2,FALSE), "Produto não encontrado")</f>
        <v>LAMINA PARA ESTILETE ESTREITO DE 18CM</v>
      </c>
      <c r="E238" s="92" t="s">
        <v>526</v>
      </c>
      <c r="F238" s="93">
        <v>5.0</v>
      </c>
      <c r="G238" s="101" t="s">
        <v>11</v>
      </c>
      <c r="H238" s="97"/>
      <c r="I238" s="86"/>
      <c r="J238" s="87"/>
      <c r="K238" s="88"/>
    </row>
    <row r="239" ht="26.25" customHeight="1">
      <c r="A239" s="90">
        <v>45965.0</v>
      </c>
      <c r="B239" s="81" t="str">
        <f t="shared" si="1"/>
        <v>2025-11</v>
      </c>
      <c r="C239" s="107">
        <v>2.00052413E8</v>
      </c>
      <c r="D239" s="91" t="str">
        <f>IFERROR(VLOOKUP(C239,produto,2,FALSE), "Produto não encontrado")</f>
        <v>LUVA LATEX P COM 100 UND</v>
      </c>
      <c r="E239" s="92" t="s">
        <v>526</v>
      </c>
      <c r="F239" s="93">
        <v>1.0</v>
      </c>
      <c r="G239" s="101" t="s">
        <v>11</v>
      </c>
      <c r="H239" s="97"/>
      <c r="I239" s="86"/>
      <c r="J239" s="87"/>
      <c r="K239" s="88"/>
    </row>
    <row r="240" ht="26.25" customHeight="1">
      <c r="A240" s="90">
        <v>45965.0</v>
      </c>
      <c r="B240" s="81" t="str">
        <f t="shared" si="1"/>
        <v>2025-11</v>
      </c>
      <c r="C240" s="107">
        <v>2.00048673E8</v>
      </c>
      <c r="D240" s="91" t="str">
        <f>IFERROR(VLOOKUP(C240,produto,2,FALSE), "Produto não encontrado")</f>
        <v>ESTILETE PLASTICO ESTREITO DE 9MM</v>
      </c>
      <c r="E240" s="92" t="s">
        <v>526</v>
      </c>
      <c r="F240" s="93">
        <v>2.0</v>
      </c>
      <c r="G240" s="101" t="s">
        <v>11</v>
      </c>
      <c r="H240" s="97"/>
      <c r="I240" s="86"/>
      <c r="J240" s="87"/>
      <c r="K240" s="88"/>
    </row>
    <row r="241" ht="26.25" customHeight="1">
      <c r="A241" s="90">
        <v>45965.0</v>
      </c>
      <c r="B241" s="81" t="str">
        <f t="shared" si="1"/>
        <v>2025-11</v>
      </c>
      <c r="C241" s="107">
        <v>2.00037491E8</v>
      </c>
      <c r="D241" s="91" t="str">
        <f>IFERROR(VLOOKUP(C241,produto,2,FALSE), "Produto não encontrado")</f>
        <v>MASCARA CIRURGICA TRIPLA</v>
      </c>
      <c r="E241" s="92" t="s">
        <v>526</v>
      </c>
      <c r="F241" s="93">
        <v>1.0</v>
      </c>
      <c r="G241" s="101" t="s">
        <v>11</v>
      </c>
      <c r="H241" s="97"/>
      <c r="I241" s="86"/>
      <c r="J241" s="87"/>
      <c r="K241" s="88"/>
    </row>
    <row r="242" ht="26.25" customHeight="1">
      <c r="A242" s="90">
        <v>45965.0</v>
      </c>
      <c r="B242" s="81" t="str">
        <f t="shared" si="1"/>
        <v>2025-11</v>
      </c>
      <c r="C242" s="107">
        <v>2.00037413E8</v>
      </c>
      <c r="D242" s="91" t="str">
        <f>IFERROR(VLOOKUP(C242,produto,2,FALSE), "Produto não encontrado")</f>
        <v>CLIPS NIQUELADO Nº 3 COM 50 UN</v>
      </c>
      <c r="E242" s="92" t="s">
        <v>526</v>
      </c>
      <c r="F242" s="93">
        <v>2.0</v>
      </c>
      <c r="G242" s="101" t="s">
        <v>11</v>
      </c>
      <c r="H242" s="97"/>
      <c r="I242" s="86"/>
      <c r="J242" s="87"/>
      <c r="K242" s="88"/>
    </row>
    <row r="243" ht="26.25" customHeight="1">
      <c r="A243" s="90">
        <v>45965.0</v>
      </c>
      <c r="B243" s="81" t="str">
        <f t="shared" si="1"/>
        <v>2025-11</v>
      </c>
      <c r="C243" s="107">
        <v>2.00036733E8</v>
      </c>
      <c r="D243" s="91" t="str">
        <f>IFERROR(VLOOKUP(C243,produto,2,FALSE), "Produto não encontrado")</f>
        <v> CANETA MARCA TEXTO PLASTICA COR AMARELO</v>
      </c>
      <c r="E243" s="92" t="s">
        <v>526</v>
      </c>
      <c r="F243" s="93">
        <v>4.0</v>
      </c>
      <c r="G243" s="101" t="s">
        <v>11</v>
      </c>
      <c r="H243" s="97"/>
      <c r="I243" s="86"/>
      <c r="J243" s="87"/>
      <c r="K243" s="88"/>
    </row>
    <row r="244" ht="26.25" customHeight="1">
      <c r="A244" s="90">
        <v>45965.0</v>
      </c>
      <c r="B244" s="81" t="str">
        <f t="shared" si="1"/>
        <v>2025-11</v>
      </c>
      <c r="C244" s="107">
        <v>2.00036656E8</v>
      </c>
      <c r="D244" s="91" t="str">
        <f>IFERROR(VLOOKUP(C244,produto,2,FALSE), "Produto não encontrado")</f>
        <v>FITA ADESIVA TRANSPARENTE 45MM X 50M</v>
      </c>
      <c r="E244" s="92" t="s">
        <v>526</v>
      </c>
      <c r="F244" s="93">
        <v>2.0</v>
      </c>
      <c r="G244" s="101" t="s">
        <v>11</v>
      </c>
      <c r="H244" s="97"/>
      <c r="I244" s="86"/>
      <c r="J244" s="87"/>
      <c r="K244" s="88"/>
    </row>
    <row r="245" ht="26.25" customHeight="1">
      <c r="A245" s="90">
        <v>45965.0</v>
      </c>
      <c r="B245" s="81" t="str">
        <f t="shared" si="1"/>
        <v>2025-11</v>
      </c>
      <c r="C245" s="107">
        <v>2.00036618E8</v>
      </c>
      <c r="D245" s="91" t="str">
        <f>IFERROR(VLOOKUP(C245,produto,2,FALSE), "Produto não encontrado")</f>
        <v>ESPONJA SINTETICA DUPLA FACE 10X7X2</v>
      </c>
      <c r="E245" s="92" t="s">
        <v>526</v>
      </c>
      <c r="F245" s="93">
        <v>2.0</v>
      </c>
      <c r="G245" s="101" t="s">
        <v>11</v>
      </c>
      <c r="H245" s="97"/>
      <c r="I245" s="86"/>
      <c r="J245" s="87"/>
      <c r="K245" s="88"/>
    </row>
    <row r="246" ht="26.25" customHeight="1">
      <c r="A246" s="90">
        <v>45965.0</v>
      </c>
      <c r="B246" s="81" t="str">
        <f t="shared" si="1"/>
        <v>2025-11</v>
      </c>
      <c r="C246" s="107">
        <v>2.00036189E8</v>
      </c>
      <c r="D246" s="91" t="str">
        <f>IFERROR(VLOOKUP(C246,produto,2,FALSE), "Produto não encontrado")</f>
        <v>COPO DESCARTAVEL 180ML</v>
      </c>
      <c r="E246" s="92" t="s">
        <v>526</v>
      </c>
      <c r="F246" s="93">
        <v>4.0</v>
      </c>
      <c r="G246" s="101" t="s">
        <v>11</v>
      </c>
      <c r="H246" s="97"/>
      <c r="I246" s="86"/>
      <c r="J246" s="87"/>
      <c r="K246" s="88"/>
    </row>
    <row r="247" ht="26.25" customHeight="1">
      <c r="A247" s="90">
        <v>45965.0</v>
      </c>
      <c r="B247" s="81" t="str">
        <f t="shared" si="1"/>
        <v>2025-11</v>
      </c>
      <c r="C247" s="107">
        <v>2.00033068E8</v>
      </c>
      <c r="D247" s="91" t="str">
        <f>IFERROR(VLOOKUP(C247,produto,2,FALSE), "Produto não encontrado")</f>
        <v> PAPEL SULFITE A4 210 X 297MM 75G BRANCO MULTIUSO PACOTE COM 500 FLS</v>
      </c>
      <c r="E247" s="92" t="s">
        <v>526</v>
      </c>
      <c r="F247" s="93">
        <v>5.0</v>
      </c>
      <c r="G247" s="101" t="s">
        <v>11</v>
      </c>
      <c r="H247" s="97"/>
      <c r="I247" s="86"/>
      <c r="J247" s="87"/>
      <c r="K247" s="88"/>
    </row>
    <row r="248" ht="26.25" customHeight="1">
      <c r="A248" s="90">
        <v>45965.0</v>
      </c>
      <c r="B248" s="81" t="str">
        <f t="shared" si="1"/>
        <v>2025-11</v>
      </c>
      <c r="C248" s="107">
        <v>2.00000408E8</v>
      </c>
      <c r="D248" s="91" t="str">
        <f>IFERROR(VLOOKUP(C248,produto,2,FALSE), "Produto não encontrado")</f>
        <v>LENÇOL DESCARTAVEL 50 x 70 mm</v>
      </c>
      <c r="E248" s="92" t="s">
        <v>526</v>
      </c>
      <c r="F248" s="93">
        <v>2.0</v>
      </c>
      <c r="G248" s="101" t="s">
        <v>11</v>
      </c>
      <c r="H248" s="97"/>
      <c r="I248" s="86"/>
      <c r="J248" s="87"/>
      <c r="K248" s="88"/>
    </row>
    <row r="249" ht="26.25" customHeight="1">
      <c r="A249" s="90">
        <v>45965.0</v>
      </c>
      <c r="B249" s="81" t="str">
        <f t="shared" si="1"/>
        <v>2025-11</v>
      </c>
      <c r="C249" s="107">
        <v>2.00036488E8</v>
      </c>
      <c r="D249" s="91" t="str">
        <f>IFERROR(VLOOKUP(C249,produto,2,FALSE), "Produto não encontrado")</f>
        <v>CANETA MARCADOR PERMANENTE PONTA 2.0mm</v>
      </c>
      <c r="E249" s="92" t="s">
        <v>528</v>
      </c>
      <c r="F249" s="93">
        <v>1.0</v>
      </c>
      <c r="G249" s="101" t="s">
        <v>579</v>
      </c>
      <c r="H249" s="97"/>
      <c r="I249" s="86"/>
      <c r="J249" s="87"/>
      <c r="K249" s="88"/>
    </row>
    <row r="250" ht="26.25" customHeight="1">
      <c r="A250" s="90">
        <v>45965.0</v>
      </c>
      <c r="B250" s="81" t="str">
        <f t="shared" si="1"/>
        <v>2025-11</v>
      </c>
      <c r="C250" s="107">
        <v>2.00062843E8</v>
      </c>
      <c r="D250" s="91" t="str">
        <f>IFERROR(VLOOKUP(C250,produto,2,FALSE), "Produto não encontrado")</f>
        <v>PILHA ALCALINA PALITO - AAA - LR03 04UN</v>
      </c>
      <c r="E250" s="92" t="s">
        <v>528</v>
      </c>
      <c r="F250" s="93">
        <v>1.0</v>
      </c>
      <c r="G250" s="101" t="s">
        <v>583</v>
      </c>
      <c r="H250" s="97"/>
      <c r="I250" s="86"/>
      <c r="J250" s="87"/>
      <c r="K250" s="88"/>
    </row>
    <row r="251" ht="26.25" customHeight="1">
      <c r="A251" s="90">
        <v>45965.0</v>
      </c>
      <c r="B251" s="81" t="str">
        <f t="shared" si="1"/>
        <v>2025-11</v>
      </c>
      <c r="C251" s="107">
        <v>2.00062843E8</v>
      </c>
      <c r="D251" s="91" t="str">
        <f>IFERROR(VLOOKUP(C251,produto,2,FALSE), "Produto não encontrado")</f>
        <v>PILHA ALCALINA PALITO - AAA - LR03 04UN</v>
      </c>
      <c r="E251" s="92" t="s">
        <v>526</v>
      </c>
      <c r="F251" s="93">
        <v>1.0</v>
      </c>
      <c r="G251" s="101" t="s">
        <v>583</v>
      </c>
      <c r="H251" s="97"/>
      <c r="I251" s="86"/>
      <c r="J251" s="87"/>
      <c r="K251" s="88"/>
    </row>
    <row r="252" ht="26.25" customHeight="1">
      <c r="A252" s="90">
        <v>45965.0</v>
      </c>
      <c r="B252" s="81" t="str">
        <f t="shared" si="1"/>
        <v>2025-11</v>
      </c>
      <c r="C252" s="107">
        <v>2.00000046E8</v>
      </c>
      <c r="D252" s="91" t="str">
        <f>IFERROR(VLOOKUP(C252,produto,2,FALSE), "Produto não encontrado")</f>
        <v>Malha Tubular de Algodão 15cmx15m</v>
      </c>
      <c r="E252" s="92" t="s">
        <v>528</v>
      </c>
      <c r="F252" s="93">
        <v>1.0</v>
      </c>
      <c r="G252" s="106" t="s">
        <v>575</v>
      </c>
      <c r="H252" s="97"/>
      <c r="I252" s="86"/>
      <c r="J252" s="87"/>
      <c r="K252" s="88"/>
    </row>
    <row r="253" ht="26.25" customHeight="1">
      <c r="A253" s="90">
        <v>45964.0</v>
      </c>
      <c r="B253" s="81" t="str">
        <f t="shared" si="1"/>
        <v>2025-11</v>
      </c>
      <c r="C253" s="107">
        <v>2.00000044E8</v>
      </c>
      <c r="D253" s="91" t="str">
        <f>IFERROR(VLOOKUP(C253,produto,2,FALSE), "Produto não encontrado")</f>
        <v>CHAPA polipropileno ortopédico natural Medidas 2,000x1000x5mm</v>
      </c>
      <c r="E253" s="92" t="s">
        <v>528</v>
      </c>
      <c r="F253" s="93">
        <v>1.0</v>
      </c>
      <c r="G253" s="106" t="s">
        <v>575</v>
      </c>
      <c r="H253" s="97"/>
      <c r="I253" s="86"/>
      <c r="J253" s="87"/>
      <c r="K253" s="88"/>
    </row>
    <row r="254" ht="26.25" customHeight="1">
      <c r="A254" s="90">
        <v>45964.0</v>
      </c>
      <c r="B254" s="81" t="str">
        <f t="shared" si="1"/>
        <v>2025-11</v>
      </c>
      <c r="C254" s="107">
        <v>2.00036752E8</v>
      </c>
      <c r="D254" s="91" t="str">
        <f>IFERROR(VLOOKUP(C254,produto,2,FALSE), "Produto não encontrado")</f>
        <v>ALCOOL 1LT</v>
      </c>
      <c r="E254" s="92" t="s">
        <v>528</v>
      </c>
      <c r="F254" s="93">
        <v>1.0</v>
      </c>
      <c r="G254" s="106" t="s">
        <v>547</v>
      </c>
      <c r="H254" s="97"/>
      <c r="I254" s="86"/>
      <c r="J254" s="87"/>
      <c r="K254" s="88"/>
    </row>
    <row r="255" ht="26.25" customHeight="1">
      <c r="A255" s="90">
        <v>45961.0</v>
      </c>
      <c r="B255" s="81" t="str">
        <f t="shared" si="1"/>
        <v>2025-10</v>
      </c>
      <c r="C255" s="108" t="s">
        <v>211</v>
      </c>
      <c r="D255" s="91" t="str">
        <f>IFERROR(VLOOKUP(C255,produto,2,FALSE), "Produto não encontrado")</f>
        <v>PLACA TERMOPLASTICA - ORFIT ECO NATUREL 45 x 60cm x 3.2mm MINI Perforated</v>
      </c>
      <c r="E255" s="92" t="s">
        <v>528</v>
      </c>
      <c r="F255" s="93">
        <v>1.0</v>
      </c>
      <c r="G255" s="101" t="s">
        <v>579</v>
      </c>
      <c r="H255" s="97"/>
      <c r="I255" s="86"/>
      <c r="J255" s="87"/>
      <c r="K255" s="88"/>
    </row>
    <row r="256" ht="26.25" customHeight="1">
      <c r="A256" s="90">
        <v>45961.0</v>
      </c>
      <c r="B256" s="81" t="str">
        <f t="shared" si="1"/>
        <v>2025-10</v>
      </c>
      <c r="C256" s="107">
        <v>2.00036189E8</v>
      </c>
      <c r="D256" s="91" t="str">
        <f>IFERROR(VLOOKUP(C256,produto,2,FALSE), "Produto não encontrado")</f>
        <v>COPO DESCARTAVEL 180ML</v>
      </c>
      <c r="E256" s="92" t="s">
        <v>528</v>
      </c>
      <c r="F256" s="93">
        <v>2.0</v>
      </c>
      <c r="G256" s="106" t="s">
        <v>547</v>
      </c>
      <c r="H256" s="97"/>
      <c r="I256" s="86"/>
      <c r="J256" s="87"/>
      <c r="K256" s="88"/>
    </row>
    <row r="257" ht="26.25" customHeight="1">
      <c r="A257" s="90">
        <v>45959.0</v>
      </c>
      <c r="B257" s="81" t="str">
        <f t="shared" si="1"/>
        <v>2025-10</v>
      </c>
      <c r="C257" s="107">
        <v>2.0007495E8</v>
      </c>
      <c r="D257" s="91" t="str">
        <f>IFERROR(VLOOKUP(C257,produto,2,FALSE), "Produto não encontrado")</f>
        <v>PILHA ALCALINA AA 1,5V COM 4 UNIDADES</v>
      </c>
      <c r="E257" s="92" t="s">
        <v>528</v>
      </c>
      <c r="F257" s="93">
        <v>3.0</v>
      </c>
      <c r="G257" s="106" t="s">
        <v>547</v>
      </c>
      <c r="H257" s="97"/>
      <c r="I257" s="86"/>
      <c r="J257" s="87"/>
      <c r="K257" s="88"/>
    </row>
    <row r="258" ht="26.25" customHeight="1">
      <c r="A258" s="90">
        <v>45958.0</v>
      </c>
      <c r="B258" s="81" t="str">
        <f t="shared" si="1"/>
        <v>2025-10</v>
      </c>
      <c r="C258" s="107">
        <v>2.00033068E8</v>
      </c>
      <c r="D258" s="91" t="str">
        <f>IFERROR(VLOOKUP(C258,produto,2,FALSE), "Produto não encontrado")</f>
        <v> PAPEL SULFITE A4 210 X 297MM 75G BRANCO MULTIUSO PACOTE COM 500 FLS</v>
      </c>
      <c r="E258" s="92" t="s">
        <v>528</v>
      </c>
      <c r="F258" s="93">
        <v>1.0</v>
      </c>
      <c r="G258" s="106" t="s">
        <v>547</v>
      </c>
      <c r="H258" s="97"/>
      <c r="I258" s="86"/>
      <c r="J258" s="87"/>
      <c r="K258" s="88"/>
    </row>
    <row r="259" ht="26.25" customHeight="1">
      <c r="A259" s="90">
        <v>45958.0</v>
      </c>
      <c r="B259" s="81" t="str">
        <f t="shared" si="1"/>
        <v>2025-10</v>
      </c>
      <c r="C259" s="107">
        <v>2.00062843E8</v>
      </c>
      <c r="D259" s="91" t="str">
        <f>IFERROR(VLOOKUP(C259,produto,2,FALSE), "Produto não encontrado")</f>
        <v>PILHA ALCALINA PALITO - AAA - LR03 04UN</v>
      </c>
      <c r="E259" s="92" t="s">
        <v>528</v>
      </c>
      <c r="F259" s="93">
        <v>1.0</v>
      </c>
      <c r="G259" s="106" t="s">
        <v>547</v>
      </c>
      <c r="H259" s="97"/>
      <c r="I259" s="86"/>
      <c r="J259" s="87"/>
      <c r="K259" s="88"/>
    </row>
    <row r="260" ht="26.25" customHeight="1">
      <c r="A260" s="90">
        <v>45958.0</v>
      </c>
      <c r="B260" s="81" t="str">
        <f t="shared" si="1"/>
        <v>2025-10</v>
      </c>
      <c r="C260" s="107">
        <v>2.00062843E8</v>
      </c>
      <c r="D260" s="91" t="str">
        <f>IFERROR(VLOOKUP(C260,produto,2,FALSE), "Produto não encontrado")</f>
        <v>PILHA ALCALINA PALITO - AAA - LR03 04UN</v>
      </c>
      <c r="E260" s="92" t="s">
        <v>526</v>
      </c>
      <c r="F260" s="93">
        <v>1.0</v>
      </c>
      <c r="G260" s="101" t="s">
        <v>11</v>
      </c>
      <c r="H260" s="97"/>
      <c r="I260" s="86"/>
      <c r="J260" s="87"/>
      <c r="K260" s="88"/>
    </row>
    <row r="261" ht="26.25" customHeight="1">
      <c r="A261" s="90">
        <v>45954.0</v>
      </c>
      <c r="B261" s="81" t="str">
        <f t="shared" si="1"/>
        <v>2025-10</v>
      </c>
      <c r="C261" s="107">
        <v>2.00036189E8</v>
      </c>
      <c r="D261" s="91" t="str">
        <f>IFERROR(VLOOKUP(C261,produto,2,FALSE), "Produto não encontrado")</f>
        <v>COPO DESCARTAVEL 180ML</v>
      </c>
      <c r="E261" s="92" t="s">
        <v>528</v>
      </c>
      <c r="F261" s="93">
        <v>1.0</v>
      </c>
      <c r="G261" s="106" t="s">
        <v>547</v>
      </c>
      <c r="H261" s="97"/>
      <c r="I261" s="86"/>
      <c r="J261" s="87"/>
      <c r="K261" s="88"/>
    </row>
    <row r="262" ht="26.25" customHeight="1">
      <c r="A262" s="90">
        <v>45954.0</v>
      </c>
      <c r="B262" s="81" t="str">
        <f t="shared" si="1"/>
        <v>2025-10</v>
      </c>
      <c r="C262" s="107">
        <v>2.00037892E8</v>
      </c>
      <c r="D262" s="91" t="str">
        <f>IFERROR(VLOOKUP(C262,produto,2,FALSE), "Produto não encontrado")</f>
        <v>FITA ADESIVA CREPE 19MM X 50M</v>
      </c>
      <c r="E262" s="92" t="s">
        <v>528</v>
      </c>
      <c r="F262" s="93">
        <v>1.0</v>
      </c>
      <c r="G262" s="106" t="s">
        <v>568</v>
      </c>
      <c r="H262" s="97"/>
      <c r="I262" s="86"/>
      <c r="J262" s="87"/>
      <c r="K262" s="88"/>
    </row>
    <row r="263" ht="26.25" customHeight="1">
      <c r="A263" s="90">
        <v>45953.0</v>
      </c>
      <c r="B263" s="81" t="str">
        <f t="shared" si="1"/>
        <v>2025-10</v>
      </c>
      <c r="C263" s="107">
        <v>2.00083825E8</v>
      </c>
      <c r="D263" s="91" t="str">
        <f>IFERROR(VLOOKUP(C263,produto,2,FALSE), "Produto não encontrado")</f>
        <v>ESPUMA LAMINADA D-33 SELADA 5000X1900X5.00CM</v>
      </c>
      <c r="E263" s="92" t="s">
        <v>528</v>
      </c>
      <c r="F263" s="93">
        <v>1.0</v>
      </c>
      <c r="G263" s="106" t="s">
        <v>575</v>
      </c>
      <c r="H263" s="97" t="s">
        <v>584</v>
      </c>
      <c r="I263" s="86"/>
      <c r="J263" s="87"/>
      <c r="K263" s="88"/>
    </row>
    <row r="264" ht="26.25" customHeight="1">
      <c r="A264" s="90">
        <v>45953.0</v>
      </c>
      <c r="B264" s="81" t="str">
        <f t="shared" si="1"/>
        <v>2025-10</v>
      </c>
      <c r="C264" s="107">
        <v>2.00036202E8</v>
      </c>
      <c r="D264" s="91" t="str">
        <f>IFERROR(VLOOKUP(C264,produto,2,FALSE), "Produto não encontrado")</f>
        <v>CANETA ESFEROGRAFICA PONTA MEDIA COR AZUL</v>
      </c>
      <c r="E264" s="92" t="s">
        <v>528</v>
      </c>
      <c r="F264" s="93">
        <v>1.0</v>
      </c>
      <c r="G264" s="101" t="s">
        <v>579</v>
      </c>
      <c r="H264" s="97"/>
      <c r="I264" s="86"/>
      <c r="J264" s="87"/>
      <c r="K264" s="88"/>
    </row>
    <row r="265" ht="26.25" customHeight="1">
      <c r="A265" s="90">
        <v>45953.0</v>
      </c>
      <c r="B265" s="81" t="str">
        <f t="shared" si="1"/>
        <v>2025-10</v>
      </c>
      <c r="C265" s="107">
        <v>2.00036201E8</v>
      </c>
      <c r="D265" s="91" t="str">
        <f>IFERROR(VLOOKUP(C265,produto,2,FALSE), "Produto não encontrado")</f>
        <v>CANETA ESFEROGRAFICA PONTA MEDIA COR PRETA</v>
      </c>
      <c r="E265" s="92" t="s">
        <v>528</v>
      </c>
      <c r="F265" s="93">
        <v>2.0</v>
      </c>
      <c r="G265" s="101" t="s">
        <v>579</v>
      </c>
      <c r="H265" s="97"/>
      <c r="I265" s="86"/>
      <c r="J265" s="87"/>
      <c r="K265" s="88"/>
    </row>
    <row r="266" ht="26.25" customHeight="1">
      <c r="A266" s="90">
        <v>45953.0</v>
      </c>
      <c r="B266" s="81" t="str">
        <f t="shared" si="1"/>
        <v>2025-10</v>
      </c>
      <c r="C266" s="107">
        <v>2.00000052E8</v>
      </c>
      <c r="D266" s="91" t="str">
        <f>IFERROR(VLOOKUP(C266,produto,2,FALSE), "Produto não encontrado")</f>
        <v>Tercido Navalhado Verde</v>
      </c>
      <c r="E266" s="92" t="s">
        <v>528</v>
      </c>
      <c r="F266" s="93">
        <v>1.0</v>
      </c>
      <c r="G266" s="106" t="s">
        <v>575</v>
      </c>
      <c r="H266" s="97" t="s">
        <v>585</v>
      </c>
      <c r="I266" s="86"/>
      <c r="J266" s="87"/>
      <c r="K266" s="88"/>
    </row>
    <row r="267" ht="26.25" customHeight="1">
      <c r="A267" s="90">
        <v>45951.0</v>
      </c>
      <c r="B267" s="81" t="str">
        <f t="shared" si="1"/>
        <v>2025-10</v>
      </c>
      <c r="C267" s="107">
        <v>2.00000066E8</v>
      </c>
      <c r="D267" s="91" t="str">
        <f>IFERROR(VLOOKUP(C267,produto,2,FALSE), "Produto não encontrado")</f>
        <v>ATADURA GESSADA 15cm x 3m, cx com 20 und</v>
      </c>
      <c r="E267" s="92" t="s">
        <v>528</v>
      </c>
      <c r="F267" s="93">
        <v>1.0</v>
      </c>
      <c r="G267" s="106" t="s">
        <v>571</v>
      </c>
      <c r="H267" s="97"/>
      <c r="I267" s="86"/>
      <c r="J267" s="87"/>
      <c r="K267" s="88"/>
    </row>
    <row r="268" ht="26.25" customHeight="1">
      <c r="A268" s="90">
        <v>45950.0</v>
      </c>
      <c r="B268" s="81" t="str">
        <f t="shared" si="1"/>
        <v>2025-10</v>
      </c>
      <c r="C268" s="107">
        <v>2.00033068E8</v>
      </c>
      <c r="D268" s="91" t="str">
        <f>IFERROR(VLOOKUP(C268,produto,2,FALSE), "Produto não encontrado")</f>
        <v> PAPEL SULFITE A4 210 X 297MM 75G BRANCO MULTIUSO PACOTE COM 500 FLS</v>
      </c>
      <c r="E268" s="92" t="s">
        <v>528</v>
      </c>
      <c r="F268" s="93">
        <v>1.0</v>
      </c>
      <c r="G268" s="101" t="s">
        <v>586</v>
      </c>
      <c r="H268" s="97"/>
      <c r="I268" s="86"/>
      <c r="J268" s="87"/>
      <c r="K268" s="88"/>
    </row>
    <row r="269" ht="26.25" customHeight="1">
      <c r="A269" s="90">
        <v>45950.0</v>
      </c>
      <c r="B269" s="81" t="str">
        <f t="shared" si="1"/>
        <v>2025-10</v>
      </c>
      <c r="C269" s="107">
        <v>2.00036189E8</v>
      </c>
      <c r="D269" s="91" t="str">
        <f>IFERROR(VLOOKUP(C269,produto,2,FALSE), "Produto não encontrado")</f>
        <v>COPO DESCARTAVEL 180ML</v>
      </c>
      <c r="E269" s="92" t="s">
        <v>528</v>
      </c>
      <c r="F269" s="93">
        <v>1.0</v>
      </c>
      <c r="G269" s="101" t="s">
        <v>586</v>
      </c>
      <c r="H269" s="97"/>
      <c r="I269" s="86"/>
      <c r="J269" s="87"/>
      <c r="K269" s="88"/>
    </row>
    <row r="270" ht="26.25" customHeight="1">
      <c r="A270" s="90">
        <v>45946.0</v>
      </c>
      <c r="B270" s="81" t="str">
        <f t="shared" si="1"/>
        <v>2025-10</v>
      </c>
      <c r="C270" s="107">
        <v>2.00037491E8</v>
      </c>
      <c r="D270" s="91" t="str">
        <f>IFERROR(VLOOKUP(C270,produto,2,FALSE), "Produto não encontrado")</f>
        <v>MASCARA CIRURGICA TRIPLA</v>
      </c>
      <c r="E270" s="92" t="s">
        <v>528</v>
      </c>
      <c r="F270" s="93">
        <v>1.0</v>
      </c>
      <c r="G270" s="101" t="s">
        <v>586</v>
      </c>
      <c r="H270" s="97"/>
      <c r="I270" s="86"/>
      <c r="J270" s="87"/>
      <c r="K270" s="88"/>
    </row>
    <row r="271" ht="26.25" customHeight="1">
      <c r="A271" s="90">
        <v>45945.0</v>
      </c>
      <c r="B271" s="81" t="str">
        <f t="shared" si="1"/>
        <v>2025-10</v>
      </c>
      <c r="C271" s="107">
        <v>2.00052413E8</v>
      </c>
      <c r="D271" s="91" t="str">
        <f>IFERROR(VLOOKUP(C271,produto,2,FALSE), "Produto não encontrado")</f>
        <v>LUVA LATEX P COM 100 UND</v>
      </c>
      <c r="E271" s="92" t="s">
        <v>528</v>
      </c>
      <c r="F271" s="93">
        <v>1.0</v>
      </c>
      <c r="G271" s="101" t="s">
        <v>579</v>
      </c>
      <c r="H271" s="97"/>
      <c r="I271" s="86"/>
      <c r="J271" s="87"/>
      <c r="K271" s="88"/>
    </row>
    <row r="272" ht="26.25" customHeight="1">
      <c r="A272" s="90">
        <v>45945.0</v>
      </c>
      <c r="B272" s="81" t="str">
        <f t="shared" si="1"/>
        <v>2025-10</v>
      </c>
      <c r="C272" s="107">
        <v>2.00036202E8</v>
      </c>
      <c r="D272" s="91" t="str">
        <f>IFERROR(VLOOKUP(C272,produto,2,FALSE), "Produto não encontrado")</f>
        <v>CANETA ESFEROGRAFICA PONTA MEDIA COR AZUL</v>
      </c>
      <c r="E272" s="92" t="s">
        <v>528</v>
      </c>
      <c r="F272" s="93">
        <v>2.0</v>
      </c>
      <c r="G272" s="101" t="s">
        <v>582</v>
      </c>
      <c r="H272" s="97"/>
      <c r="I272" s="86"/>
      <c r="J272" s="87"/>
      <c r="K272" s="88"/>
    </row>
    <row r="273" ht="26.25" customHeight="1">
      <c r="A273" s="90">
        <v>45945.0</v>
      </c>
      <c r="B273" s="81" t="str">
        <f t="shared" si="1"/>
        <v>2025-10</v>
      </c>
      <c r="C273" s="107">
        <v>2.00083825E8</v>
      </c>
      <c r="D273" s="91" t="str">
        <f>IFERROR(VLOOKUP(C273,produto,2,FALSE), "Produto não encontrado")</f>
        <v>ESPUMA LAMINADA D-33 SELADA 5000X1900X5.00CM</v>
      </c>
      <c r="E273" s="92" t="s">
        <v>528</v>
      </c>
      <c r="F273" s="93">
        <v>1.0</v>
      </c>
      <c r="G273" s="106" t="s">
        <v>575</v>
      </c>
      <c r="H273" s="97" t="s">
        <v>587</v>
      </c>
      <c r="I273" s="86"/>
      <c r="J273" s="87"/>
      <c r="K273" s="88"/>
    </row>
    <row r="274" ht="26.25" customHeight="1">
      <c r="A274" s="90">
        <v>45945.0</v>
      </c>
      <c r="B274" s="81" t="str">
        <f t="shared" si="1"/>
        <v>2025-10</v>
      </c>
      <c r="C274" s="107">
        <v>2.00000041E8</v>
      </c>
      <c r="D274" s="91" t="str">
        <f>IFERROR(VLOOKUP(C274,produto,2,FALSE), "Produto não encontrado")</f>
        <v>ATADURA GESSADA 20cm x 3m, cx com 20 und</v>
      </c>
      <c r="E274" s="92" t="s">
        <v>528</v>
      </c>
      <c r="F274" s="93">
        <v>1.0</v>
      </c>
      <c r="G274" s="106" t="s">
        <v>575</v>
      </c>
      <c r="H274" s="97"/>
      <c r="I274" s="86"/>
      <c r="J274" s="87"/>
      <c r="K274" s="88"/>
    </row>
    <row r="275" ht="26.25" customHeight="1">
      <c r="A275" s="90">
        <v>45945.0</v>
      </c>
      <c r="B275" s="81" t="str">
        <f t="shared" si="1"/>
        <v>2025-10</v>
      </c>
      <c r="C275" s="107">
        <v>2.00000065E8</v>
      </c>
      <c r="D275" s="91" t="str">
        <f>IFERROR(VLOOKUP(C275,produto,2,FALSE), "Produto não encontrado")</f>
        <v>ATADURA GESSADA 20cm x 4m, cx com 20 und</v>
      </c>
      <c r="E275" s="92" t="s">
        <v>528</v>
      </c>
      <c r="F275" s="93">
        <v>1.0</v>
      </c>
      <c r="G275" s="106" t="s">
        <v>575</v>
      </c>
      <c r="H275" s="97"/>
      <c r="I275" s="86"/>
      <c r="J275" s="87"/>
      <c r="K275" s="88"/>
    </row>
    <row r="276" ht="26.25" customHeight="1">
      <c r="A276" s="90">
        <v>45944.0</v>
      </c>
      <c r="B276" s="81" t="str">
        <f t="shared" si="1"/>
        <v>2025-10</v>
      </c>
      <c r="C276" s="107">
        <v>2.00000046E8</v>
      </c>
      <c r="D276" s="91" t="str">
        <f>IFERROR(VLOOKUP(C276,produto,2,FALSE), "Produto não encontrado")</f>
        <v>Malha Tubular de Algodão 15cmx15m</v>
      </c>
      <c r="E276" s="92" t="s">
        <v>526</v>
      </c>
      <c r="F276" s="93">
        <v>12.0</v>
      </c>
      <c r="G276" s="101" t="s">
        <v>11</v>
      </c>
      <c r="H276" s="97"/>
      <c r="I276" s="86"/>
      <c r="J276" s="87"/>
      <c r="K276" s="88"/>
    </row>
    <row r="277" ht="26.25" customHeight="1">
      <c r="A277" s="90">
        <v>45944.0</v>
      </c>
      <c r="B277" s="81" t="str">
        <f t="shared" si="1"/>
        <v>2025-10</v>
      </c>
      <c r="C277" s="107">
        <v>2.00000045E8</v>
      </c>
      <c r="D277" s="91" t="str">
        <f>IFERROR(VLOOKUP(C277,produto,2,FALSE), "Produto não encontrado")</f>
        <v>Malha Tubular de Algodão 10cm x 15m</v>
      </c>
      <c r="E277" s="92" t="s">
        <v>526</v>
      </c>
      <c r="F277" s="93">
        <v>12.0</v>
      </c>
      <c r="G277" s="101" t="s">
        <v>11</v>
      </c>
      <c r="H277" s="97"/>
      <c r="I277" s="86"/>
      <c r="J277" s="87"/>
      <c r="K277" s="88"/>
    </row>
    <row r="278" ht="26.25" customHeight="1">
      <c r="A278" s="90">
        <v>45944.0</v>
      </c>
      <c r="B278" s="81" t="str">
        <f t="shared" si="1"/>
        <v>2025-10</v>
      </c>
      <c r="C278" s="107">
        <v>2.0008597E8</v>
      </c>
      <c r="D278" s="91" t="str">
        <f>IFERROR(VLOOKUP(C278,produto,2,FALSE), "Produto não encontrado")</f>
        <v>COLA DE CONTATO MULTIUSO DE 2,8KG</v>
      </c>
      <c r="E278" s="92" t="s">
        <v>528</v>
      </c>
      <c r="F278" s="93">
        <v>1.0</v>
      </c>
      <c r="G278" s="106" t="s">
        <v>575</v>
      </c>
      <c r="H278" s="97"/>
      <c r="I278" s="86"/>
      <c r="J278" s="87"/>
      <c r="K278" s="88"/>
    </row>
    <row r="279" ht="26.25" customHeight="1">
      <c r="A279" s="90">
        <v>45944.0</v>
      </c>
      <c r="B279" s="81" t="str">
        <f t="shared" si="1"/>
        <v>2025-10</v>
      </c>
      <c r="C279" s="107">
        <v>2.00003278E8</v>
      </c>
      <c r="D279" s="91" t="str">
        <f>IFERROR(VLOOKUP(C279,produto,2,FALSE), "Produto não encontrado")</f>
        <v>LINHA 60 100% POLIESTER - 80 GRAMAS - PRETA</v>
      </c>
      <c r="E279" s="92" t="s">
        <v>526</v>
      </c>
      <c r="F279" s="93">
        <v>4.0</v>
      </c>
      <c r="G279" s="101" t="s">
        <v>555</v>
      </c>
      <c r="H279" s="97"/>
      <c r="I279" s="86"/>
      <c r="J279" s="87"/>
      <c r="K279" s="88"/>
    </row>
    <row r="280" ht="26.25" customHeight="1">
      <c r="A280" s="90">
        <v>45944.0</v>
      </c>
      <c r="B280" s="81" t="str">
        <f t="shared" si="1"/>
        <v>2025-10</v>
      </c>
      <c r="C280" s="107">
        <v>2.00003277E8</v>
      </c>
      <c r="D280" s="91" t="str">
        <f>IFERROR(VLOOKUP(C280,produto,2,FALSE), "Produto não encontrado")</f>
        <v>LINHA 60 100% POLIESTER - 80 GRAMAS - BRANCA</v>
      </c>
      <c r="E280" s="92" t="s">
        <v>526</v>
      </c>
      <c r="F280" s="93">
        <v>4.0</v>
      </c>
      <c r="G280" s="101" t="s">
        <v>555</v>
      </c>
      <c r="H280" s="97"/>
      <c r="I280" s="86"/>
      <c r="J280" s="87"/>
      <c r="K280" s="88"/>
    </row>
    <row r="281" ht="26.25" customHeight="1">
      <c r="A281" s="90">
        <v>45944.0</v>
      </c>
      <c r="B281" s="81" t="str">
        <f t="shared" si="1"/>
        <v>2025-10</v>
      </c>
      <c r="C281" s="107">
        <v>2.00000046E8</v>
      </c>
      <c r="D281" s="91" t="str">
        <f>IFERROR(VLOOKUP(C281,produto,2,FALSE), "Produto não encontrado")</f>
        <v>Malha Tubular de Algodão 15cmx15m</v>
      </c>
      <c r="E281" s="92" t="s">
        <v>526</v>
      </c>
      <c r="F281" s="93">
        <v>9.0</v>
      </c>
      <c r="G281" s="101" t="s">
        <v>555</v>
      </c>
      <c r="H281" s="97"/>
      <c r="I281" s="86"/>
      <c r="J281" s="87"/>
      <c r="K281" s="88"/>
    </row>
    <row r="282" ht="26.25" customHeight="1">
      <c r="A282" s="90">
        <v>45944.0</v>
      </c>
      <c r="B282" s="81" t="str">
        <f t="shared" si="1"/>
        <v>2025-10</v>
      </c>
      <c r="C282" s="107">
        <v>2.00000045E8</v>
      </c>
      <c r="D282" s="91" t="str">
        <f>IFERROR(VLOOKUP(C282,produto,2,FALSE), "Produto não encontrado")</f>
        <v>Malha Tubular de Algodão 10cm x 15m</v>
      </c>
      <c r="E282" s="92" t="s">
        <v>526</v>
      </c>
      <c r="F282" s="93">
        <v>14.0</v>
      </c>
      <c r="G282" s="101" t="s">
        <v>555</v>
      </c>
      <c r="H282" s="97"/>
      <c r="I282" s="86"/>
      <c r="J282" s="87"/>
      <c r="K282" s="88"/>
    </row>
    <row r="283" ht="26.25" customHeight="1">
      <c r="A283" s="90">
        <v>45944.0</v>
      </c>
      <c r="B283" s="81" t="str">
        <f t="shared" si="1"/>
        <v>2025-10</v>
      </c>
      <c r="C283" s="107">
        <v>2.00000066E8</v>
      </c>
      <c r="D283" s="91" t="str">
        <f>IFERROR(VLOOKUP(C283,produto,2,FALSE), "Produto não encontrado")</f>
        <v>ATADURA GESSADA 15cm x 3m, cx com 20 und</v>
      </c>
      <c r="E283" s="92" t="s">
        <v>526</v>
      </c>
      <c r="F283" s="93">
        <v>10.0</v>
      </c>
      <c r="G283" s="101" t="s">
        <v>555</v>
      </c>
      <c r="H283" s="97"/>
      <c r="I283" s="86"/>
      <c r="J283" s="87"/>
      <c r="K283" s="88"/>
    </row>
    <row r="284" ht="26.25" customHeight="1">
      <c r="A284" s="90">
        <v>45944.0</v>
      </c>
      <c r="B284" s="81" t="str">
        <f t="shared" si="1"/>
        <v>2025-10</v>
      </c>
      <c r="C284" s="107">
        <v>2.0000004E8</v>
      </c>
      <c r="D284" s="91" t="str">
        <f>IFERROR(VLOOKUP(C284,produto,2,FALSE), "Produto não encontrado")</f>
        <v>ATADURA GESSADA 10cm x 3m, cx com 20 und</v>
      </c>
      <c r="E284" s="92" t="s">
        <v>526</v>
      </c>
      <c r="F284" s="93">
        <v>1.0</v>
      </c>
      <c r="G284" s="101" t="s">
        <v>555</v>
      </c>
      <c r="H284" s="97"/>
      <c r="I284" s="86"/>
      <c r="J284" s="87"/>
      <c r="K284" s="88"/>
    </row>
    <row r="285" ht="26.25" customHeight="1">
      <c r="A285" s="90">
        <v>45944.0</v>
      </c>
      <c r="B285" s="81" t="str">
        <f t="shared" si="1"/>
        <v>2025-10</v>
      </c>
      <c r="C285" s="107">
        <v>2.00000065E8</v>
      </c>
      <c r="D285" s="91" t="str">
        <f>IFERROR(VLOOKUP(C285,produto,2,FALSE), "Produto não encontrado")</f>
        <v>ATADURA GESSADA 20cm x 4m, cx com 20 und</v>
      </c>
      <c r="E285" s="92" t="s">
        <v>526</v>
      </c>
      <c r="F285" s="93">
        <v>5.0</v>
      </c>
      <c r="G285" s="101" t="s">
        <v>555</v>
      </c>
      <c r="H285" s="97"/>
      <c r="I285" s="86"/>
      <c r="J285" s="87"/>
      <c r="K285" s="88"/>
    </row>
    <row r="286" ht="26.25" customHeight="1">
      <c r="A286" s="90">
        <v>45944.0</v>
      </c>
      <c r="B286" s="81" t="str">
        <f t="shared" si="1"/>
        <v>2025-10</v>
      </c>
      <c r="C286" s="107">
        <v>2.00000041E8</v>
      </c>
      <c r="D286" s="91" t="str">
        <f>IFERROR(VLOOKUP(C286,produto,2,FALSE), "Produto não encontrado")</f>
        <v>ATADURA GESSADA 20cm x 3m, cx com 20 und</v>
      </c>
      <c r="E286" s="92" t="s">
        <v>526</v>
      </c>
      <c r="F286" s="93">
        <v>1.0</v>
      </c>
      <c r="G286" s="101" t="s">
        <v>555</v>
      </c>
      <c r="H286" s="97"/>
      <c r="I286" s="86"/>
      <c r="J286" s="87"/>
      <c r="K286" s="88"/>
    </row>
    <row r="287" ht="26.25" customHeight="1">
      <c r="A287" s="90">
        <v>45944.0</v>
      </c>
      <c r="B287" s="81" t="str">
        <f t="shared" si="1"/>
        <v>2025-10</v>
      </c>
      <c r="C287" s="107">
        <v>2.0008597E8</v>
      </c>
      <c r="D287" s="91" t="str">
        <f>IFERROR(VLOOKUP(C287,produto,2,FALSE), "Produto não encontrado")</f>
        <v>COLA DE CONTATO MULTIUSO DE 2,8KG</v>
      </c>
      <c r="E287" s="92" t="s">
        <v>526</v>
      </c>
      <c r="F287" s="93">
        <v>8.0</v>
      </c>
      <c r="G287" s="101" t="s">
        <v>555</v>
      </c>
      <c r="H287" s="97"/>
      <c r="I287" s="86"/>
      <c r="J287" s="87"/>
      <c r="K287" s="88"/>
    </row>
    <row r="288" ht="26.25" customHeight="1">
      <c r="A288" s="90">
        <v>45944.0</v>
      </c>
      <c r="B288" s="81" t="str">
        <f t="shared" si="1"/>
        <v>2025-10</v>
      </c>
      <c r="C288" s="107">
        <v>2.00036189E8</v>
      </c>
      <c r="D288" s="91" t="str">
        <f>IFERROR(VLOOKUP(C288,produto,2,FALSE), "Produto não encontrado")</f>
        <v>COPO DESCARTAVEL 180ML</v>
      </c>
      <c r="E288" s="92" t="s">
        <v>528</v>
      </c>
      <c r="F288" s="93">
        <v>1.0</v>
      </c>
      <c r="G288" s="106" t="s">
        <v>547</v>
      </c>
      <c r="H288" s="97"/>
      <c r="I288" s="86"/>
      <c r="J288" s="87"/>
      <c r="K288" s="88"/>
    </row>
    <row r="289" ht="26.25" customHeight="1">
      <c r="A289" s="90">
        <v>45943.0</v>
      </c>
      <c r="B289" s="81" t="str">
        <f t="shared" si="1"/>
        <v>2025-10</v>
      </c>
      <c r="C289" s="107">
        <v>2.00000052E8</v>
      </c>
      <c r="D289" s="91" t="str">
        <f>IFERROR(VLOOKUP(C289,produto,2,FALSE), "Produto não encontrado")</f>
        <v>Tercido Navalhado Verde</v>
      </c>
      <c r="E289" s="92" t="s">
        <v>528</v>
      </c>
      <c r="F289" s="93">
        <v>2.0</v>
      </c>
      <c r="G289" s="106" t="s">
        <v>575</v>
      </c>
      <c r="H289" s="97" t="s">
        <v>588</v>
      </c>
      <c r="I289" s="86"/>
      <c r="J289" s="87"/>
      <c r="K289" s="88"/>
    </row>
    <row r="290" ht="26.25" customHeight="1">
      <c r="A290" s="90">
        <v>45939.0</v>
      </c>
      <c r="B290" s="81" t="str">
        <f t="shared" si="1"/>
        <v>2025-10</v>
      </c>
      <c r="C290" s="107">
        <v>2.00033068E8</v>
      </c>
      <c r="D290" s="91" t="str">
        <f>IFERROR(VLOOKUP(C290,produto,2,FALSE), "Produto não encontrado")</f>
        <v> PAPEL SULFITE A4 210 X 297MM 75G BRANCO MULTIUSO PACOTE COM 500 FLS</v>
      </c>
      <c r="E290" s="92" t="s">
        <v>528</v>
      </c>
      <c r="F290" s="93">
        <v>2.0</v>
      </c>
      <c r="G290" s="106" t="s">
        <v>547</v>
      </c>
      <c r="H290" s="97"/>
      <c r="I290" s="86"/>
      <c r="J290" s="87"/>
      <c r="K290" s="88"/>
    </row>
    <row r="291" ht="26.25" customHeight="1">
      <c r="A291" s="90">
        <v>45939.0</v>
      </c>
      <c r="B291" s="81" t="str">
        <f t="shared" si="1"/>
        <v>2025-10</v>
      </c>
      <c r="C291" s="107">
        <v>2.00036189E8</v>
      </c>
      <c r="D291" s="91" t="str">
        <f>IFERROR(VLOOKUP(C291,produto,2,FALSE), "Produto não encontrado")</f>
        <v>COPO DESCARTAVEL 180ML</v>
      </c>
      <c r="E291" s="92" t="s">
        <v>528</v>
      </c>
      <c r="F291" s="93">
        <v>1.0</v>
      </c>
      <c r="G291" s="106" t="s">
        <v>547</v>
      </c>
      <c r="H291" s="97"/>
      <c r="I291" s="86"/>
      <c r="J291" s="87"/>
      <c r="K291" s="88"/>
    </row>
    <row r="292" ht="26.25" customHeight="1">
      <c r="A292" s="90">
        <v>45938.0</v>
      </c>
      <c r="B292" s="81" t="str">
        <f t="shared" si="1"/>
        <v>2025-10</v>
      </c>
      <c r="C292" s="107">
        <v>2.00036656E8</v>
      </c>
      <c r="D292" s="91" t="str">
        <f>IFERROR(VLOOKUP(C292,produto,2,FALSE), "Produto não encontrado")</f>
        <v>FITA ADESIVA TRANSPARENTE 45MM X 50M</v>
      </c>
      <c r="E292" s="92" t="s">
        <v>528</v>
      </c>
      <c r="F292" s="93">
        <v>2.0</v>
      </c>
      <c r="G292" s="106" t="s">
        <v>547</v>
      </c>
      <c r="H292" s="97"/>
      <c r="I292" s="86"/>
      <c r="J292" s="87"/>
      <c r="K292" s="88"/>
    </row>
    <row r="293" ht="26.25" customHeight="1">
      <c r="A293" s="90">
        <v>45938.0</v>
      </c>
      <c r="B293" s="81" t="str">
        <f t="shared" si="1"/>
        <v>2025-10</v>
      </c>
      <c r="C293" s="108" t="s">
        <v>211</v>
      </c>
      <c r="D293" s="91" t="str">
        <f>IFERROR(VLOOKUP(C293,produto,2,FALSE), "Produto não encontrado")</f>
        <v>PLACA TERMOPLASTICA - ORFIT ECO NATUREL 45 x 60cm x 3.2mm MINI Perforated</v>
      </c>
      <c r="E293" s="92" t="s">
        <v>528</v>
      </c>
      <c r="F293" s="93">
        <v>1.0</v>
      </c>
      <c r="G293" s="101" t="s">
        <v>579</v>
      </c>
      <c r="H293" s="97"/>
      <c r="I293" s="86"/>
      <c r="J293" s="87"/>
      <c r="K293" s="88"/>
    </row>
    <row r="294" ht="26.25" customHeight="1">
      <c r="A294" s="90">
        <v>45938.0</v>
      </c>
      <c r="B294" s="81" t="str">
        <f t="shared" si="1"/>
        <v>2025-10</v>
      </c>
      <c r="C294" s="107">
        <v>2.0007495E8</v>
      </c>
      <c r="D294" s="91" t="str">
        <f>IFERROR(VLOOKUP(C294,produto,2,FALSE), "Produto não encontrado")</f>
        <v>PILHA ALCALINA AA 1,5V COM 4 UNIDADES</v>
      </c>
      <c r="E294" s="92" t="s">
        <v>528</v>
      </c>
      <c r="F294" s="93">
        <v>2.0</v>
      </c>
      <c r="G294" s="106" t="s">
        <v>547</v>
      </c>
      <c r="H294" s="97"/>
      <c r="I294" s="86"/>
      <c r="J294" s="88"/>
    </row>
    <row r="295" ht="26.25" customHeight="1">
      <c r="A295" s="90">
        <v>45938.0</v>
      </c>
      <c r="B295" s="81" t="str">
        <f t="shared" si="1"/>
        <v>2025-10</v>
      </c>
      <c r="C295" s="107">
        <v>2.00036656E8</v>
      </c>
      <c r="D295" s="91" t="str">
        <f>IFERROR(VLOOKUP(C295,produto,2,FALSE), "Produto não encontrado")</f>
        <v>FITA ADESIVA TRANSPARENTE 45MM X 50M</v>
      </c>
      <c r="E295" s="92" t="s">
        <v>528</v>
      </c>
      <c r="F295" s="93">
        <v>2.0</v>
      </c>
      <c r="G295" s="106" t="s">
        <v>547</v>
      </c>
      <c r="H295" s="97"/>
      <c r="I295" s="86"/>
      <c r="J295" s="110"/>
      <c r="K295" s="110"/>
    </row>
    <row r="296" ht="26.25" customHeight="1">
      <c r="A296" s="90">
        <v>45936.0</v>
      </c>
      <c r="B296" s="81" t="str">
        <f t="shared" si="1"/>
        <v>2025-10</v>
      </c>
      <c r="C296" s="107">
        <v>2.00000063E8</v>
      </c>
      <c r="D296" s="91" t="str">
        <f>IFERROR(VLOOKUP(C296,produto,2,FALSE), "Produto não encontrado")</f>
        <v>VELCRO FEMEA 50mm PRETO V330</v>
      </c>
      <c r="E296" s="92" t="s">
        <v>528</v>
      </c>
      <c r="F296" s="93">
        <v>1.0</v>
      </c>
      <c r="G296" s="101" t="s">
        <v>579</v>
      </c>
      <c r="H296" s="97"/>
      <c r="I296" s="86"/>
      <c r="J296" s="110"/>
      <c r="K296" s="110"/>
    </row>
    <row r="297" ht="26.25" customHeight="1">
      <c r="A297" s="90">
        <v>45936.0</v>
      </c>
      <c r="B297" s="81" t="str">
        <f t="shared" si="1"/>
        <v>2025-10</v>
      </c>
      <c r="C297" s="107">
        <v>2.00000064E8</v>
      </c>
      <c r="D297" s="91" t="str">
        <f>IFERROR(VLOOKUP(C297,produto,2,FALSE), "Produto não encontrado")</f>
        <v>VELCRO FEMEA 50mm BEGE</v>
      </c>
      <c r="E297" s="92" t="s">
        <v>528</v>
      </c>
      <c r="F297" s="93">
        <v>1.0</v>
      </c>
      <c r="G297" s="101" t="s">
        <v>579</v>
      </c>
      <c r="H297" s="97"/>
      <c r="I297" s="86"/>
      <c r="J297" s="111"/>
      <c r="K297" s="112"/>
    </row>
    <row r="298" ht="26.25" customHeight="1">
      <c r="A298" s="90">
        <v>45936.0</v>
      </c>
      <c r="B298" s="81" t="str">
        <f t="shared" si="1"/>
        <v>2025-10</v>
      </c>
      <c r="C298" s="107">
        <v>2.00058015E8</v>
      </c>
      <c r="D298" s="91" t="str">
        <f>IFERROR(VLOOKUP(C298,produto,2,FALSE), "Produto não encontrado")</f>
        <v>KNESIO - FITA DE CINESIOLOGIA ROLO COM 5CM X 5M</v>
      </c>
      <c r="E298" s="92" t="s">
        <v>528</v>
      </c>
      <c r="F298" s="93">
        <v>1.0</v>
      </c>
      <c r="G298" s="101" t="s">
        <v>579</v>
      </c>
      <c r="H298" s="97"/>
      <c r="I298" s="86"/>
      <c r="J298" s="110"/>
      <c r="K298" s="110"/>
    </row>
    <row r="299" ht="26.25" customHeight="1">
      <c r="A299" s="90">
        <v>45936.0</v>
      </c>
      <c r="B299" s="81" t="str">
        <f t="shared" si="1"/>
        <v>2025-10</v>
      </c>
      <c r="C299" s="107">
        <v>2.00036673E8</v>
      </c>
      <c r="D299" s="91" t="str">
        <f>IFERROR(VLOOKUP(C299,produto,2,FALSE), "Produto não encontrado")</f>
        <v>LIVRO ATA COM 200 FOLHAS NUMERADAS</v>
      </c>
      <c r="E299" s="92" t="s">
        <v>528</v>
      </c>
      <c r="F299" s="93">
        <v>1.0</v>
      </c>
      <c r="G299" s="101" t="s">
        <v>583</v>
      </c>
      <c r="H299" s="97"/>
      <c r="I299" s="86"/>
      <c r="J299" s="111"/>
      <c r="K299" s="113"/>
    </row>
    <row r="300" ht="26.25" customHeight="1">
      <c r="A300" s="90">
        <v>45936.0</v>
      </c>
      <c r="B300" s="81" t="str">
        <f t="shared" si="1"/>
        <v>2025-10</v>
      </c>
      <c r="C300" s="107">
        <v>2.00033068E8</v>
      </c>
      <c r="D300" s="91" t="str">
        <f>IFERROR(VLOOKUP(C300,produto,2,FALSE), "Produto não encontrado")</f>
        <v> PAPEL SULFITE A4 210 X 297MM 75G BRANCO MULTIUSO PACOTE COM 500 FLS</v>
      </c>
      <c r="E300" s="92" t="s">
        <v>526</v>
      </c>
      <c r="F300" s="93">
        <v>4.0</v>
      </c>
      <c r="G300" s="101" t="s">
        <v>11</v>
      </c>
      <c r="H300" s="97"/>
      <c r="I300" s="86"/>
      <c r="J300" s="111"/>
      <c r="K300" s="114"/>
    </row>
    <row r="301" ht="26.25" customHeight="1">
      <c r="A301" s="90">
        <v>45936.0</v>
      </c>
      <c r="B301" s="81" t="str">
        <f t="shared" si="1"/>
        <v>2025-10</v>
      </c>
      <c r="C301" s="107">
        <v>2.00037491E8</v>
      </c>
      <c r="D301" s="91" t="str">
        <f>IFERROR(VLOOKUP(C301,produto,2,FALSE), "Produto não encontrado")</f>
        <v>MASCARA CIRURGICA TRIPLA</v>
      </c>
      <c r="E301" s="92" t="s">
        <v>526</v>
      </c>
      <c r="F301" s="93">
        <v>1.0</v>
      </c>
      <c r="G301" s="101" t="s">
        <v>11</v>
      </c>
      <c r="H301" s="97"/>
      <c r="I301" s="86"/>
      <c r="J301" s="111"/>
      <c r="K301" s="114"/>
    </row>
    <row r="302" ht="26.25" customHeight="1">
      <c r="A302" s="90">
        <v>45936.0</v>
      </c>
      <c r="B302" s="81" t="str">
        <f t="shared" si="1"/>
        <v>2025-10</v>
      </c>
      <c r="C302" s="107">
        <v>2.00061185E8</v>
      </c>
      <c r="D302" s="91" t="str">
        <f>IFERROR(VLOOKUP(C302,produto,2,FALSE), "Produto não encontrado")</f>
        <v>LAMINA PARA ESTILETE ESTREITO DE 18CM</v>
      </c>
      <c r="E302" s="92" t="s">
        <v>526</v>
      </c>
      <c r="F302" s="93">
        <v>5.0</v>
      </c>
      <c r="G302" s="101" t="s">
        <v>11</v>
      </c>
      <c r="H302" s="97"/>
      <c r="I302" s="86"/>
      <c r="J302" s="111"/>
      <c r="K302" s="115"/>
    </row>
    <row r="303" ht="26.25" customHeight="1">
      <c r="A303" s="90">
        <v>45936.0</v>
      </c>
      <c r="B303" s="81" t="str">
        <f t="shared" si="1"/>
        <v>2025-10</v>
      </c>
      <c r="C303" s="107">
        <v>2.00058015E8</v>
      </c>
      <c r="D303" s="91" t="str">
        <f>IFERROR(VLOOKUP(C303,produto,2,FALSE), "Produto não encontrado")</f>
        <v>KNESIO - FITA DE CINESIOLOGIA ROLO COM 5CM X 5M</v>
      </c>
      <c r="E303" s="92" t="s">
        <v>526</v>
      </c>
      <c r="F303" s="93">
        <v>5.0</v>
      </c>
      <c r="G303" s="101" t="s">
        <v>11</v>
      </c>
      <c r="H303" s="97"/>
      <c r="I303" s="86"/>
      <c r="J303" s="87"/>
      <c r="K303" s="88"/>
    </row>
    <row r="304" ht="26.25" customHeight="1">
      <c r="A304" s="90">
        <v>45936.0</v>
      </c>
      <c r="B304" s="81" t="str">
        <f t="shared" si="1"/>
        <v>2025-10</v>
      </c>
      <c r="C304" s="107">
        <v>2.00038156E8</v>
      </c>
      <c r="D304" s="91" t="str">
        <f>IFERROR(VLOOKUP(C304,produto,2,FALSE), "Produto não encontrado")</f>
        <v>EXTRATOR DE GRAMPO ESPATULA EM AÇO DE 15cm</v>
      </c>
      <c r="E304" s="92" t="s">
        <v>526</v>
      </c>
      <c r="F304" s="93">
        <v>5.0</v>
      </c>
      <c r="G304" s="101" t="s">
        <v>11</v>
      </c>
      <c r="H304" s="97"/>
      <c r="I304" s="86"/>
      <c r="J304" s="87"/>
      <c r="K304" s="88"/>
    </row>
    <row r="305" ht="26.25" customHeight="1">
      <c r="A305" s="90">
        <v>45936.0</v>
      </c>
      <c r="B305" s="81" t="str">
        <f t="shared" si="1"/>
        <v>2025-10</v>
      </c>
      <c r="C305" s="107">
        <v>2.00036189E8</v>
      </c>
      <c r="D305" s="91" t="str">
        <f>IFERROR(VLOOKUP(C305,produto,2,FALSE), "Produto não encontrado")</f>
        <v>COPO DESCARTAVEL 180ML</v>
      </c>
      <c r="E305" s="92" t="s">
        <v>526</v>
      </c>
      <c r="F305" s="93">
        <v>4.0</v>
      </c>
      <c r="G305" s="101" t="s">
        <v>11</v>
      </c>
      <c r="H305" s="97"/>
      <c r="I305" s="86"/>
      <c r="J305" s="87"/>
      <c r="K305" s="88"/>
    </row>
    <row r="306" ht="26.25" customHeight="1">
      <c r="A306" s="90">
        <v>45936.0</v>
      </c>
      <c r="B306" s="81" t="str">
        <f t="shared" si="1"/>
        <v>2025-10</v>
      </c>
      <c r="C306" s="116">
        <v>2.00037413E8</v>
      </c>
      <c r="D306" s="91" t="str">
        <f>IFERROR(VLOOKUP(C306,produto,2,FALSE), "Produto não encontrado")</f>
        <v>CLIPS NIQUELADO Nº 3 COM 50 UN</v>
      </c>
      <c r="E306" s="92" t="s">
        <v>526</v>
      </c>
      <c r="F306" s="93">
        <v>2.0</v>
      </c>
      <c r="G306" s="101" t="s">
        <v>11</v>
      </c>
      <c r="H306" s="97"/>
      <c r="I306" s="86"/>
      <c r="J306" s="87"/>
      <c r="K306" s="88"/>
    </row>
    <row r="307" ht="26.25" customHeight="1">
      <c r="A307" s="90">
        <v>45936.0</v>
      </c>
      <c r="B307" s="81" t="str">
        <f t="shared" si="1"/>
        <v>2025-10</v>
      </c>
      <c r="C307" s="109">
        <v>2.00036489E8</v>
      </c>
      <c r="D307" s="91" t="str">
        <f>IFERROR(VLOOKUP(C307,produto,2,FALSE), "Produto não encontrado")</f>
        <v>CLIPS NIQUELADO Nº 1 COM 100 UN</v>
      </c>
      <c r="E307" s="92" t="s">
        <v>526</v>
      </c>
      <c r="F307" s="93">
        <v>2.0</v>
      </c>
      <c r="G307" s="101" t="s">
        <v>11</v>
      </c>
      <c r="H307" s="97"/>
      <c r="I307" s="86"/>
      <c r="J307" s="87"/>
      <c r="K307" s="88"/>
    </row>
    <row r="308" ht="26.25" customHeight="1">
      <c r="A308" s="90">
        <v>45936.0</v>
      </c>
      <c r="B308" s="81" t="str">
        <f t="shared" si="1"/>
        <v>2025-10</v>
      </c>
      <c r="C308" s="107">
        <v>2.00040799E8</v>
      </c>
      <c r="D308" s="91" t="str">
        <f>IFERROR(VLOOKUP(C308,produto,2,FALSE), "Produto não encontrado")</f>
        <v>CAIXA ARQUIVO MORTO EM POLIONDA MED (380X175X290) MM NA COR AMARELA</v>
      </c>
      <c r="E308" s="92" t="s">
        <v>526</v>
      </c>
      <c r="F308" s="93">
        <v>2.0</v>
      </c>
      <c r="G308" s="101" t="s">
        <v>11</v>
      </c>
      <c r="H308" s="97"/>
      <c r="I308" s="86"/>
      <c r="J308" s="87"/>
      <c r="K308" s="88"/>
    </row>
    <row r="309" ht="26.25" customHeight="1">
      <c r="A309" s="90">
        <v>45936.0</v>
      </c>
      <c r="B309" s="81" t="str">
        <f t="shared" si="1"/>
        <v>2025-10</v>
      </c>
      <c r="C309" s="107">
        <v>2.00036673E8</v>
      </c>
      <c r="D309" s="91" t="str">
        <f>IFERROR(VLOOKUP(C309,produto,2,FALSE), "Produto não encontrado")</f>
        <v>LIVRO ATA COM 200 FOLHAS NUMERADAS</v>
      </c>
      <c r="E309" s="92" t="s">
        <v>526</v>
      </c>
      <c r="F309" s="93">
        <v>1.0</v>
      </c>
      <c r="G309" s="101" t="s">
        <v>11</v>
      </c>
      <c r="H309" s="97"/>
      <c r="I309" s="86"/>
      <c r="J309" s="87"/>
      <c r="K309" s="88"/>
    </row>
    <row r="310" ht="26.25" customHeight="1">
      <c r="A310" s="90">
        <v>45936.0</v>
      </c>
      <c r="B310" s="81" t="str">
        <f t="shared" si="1"/>
        <v>2025-10</v>
      </c>
      <c r="C310" s="107">
        <v>2.00000059E8</v>
      </c>
      <c r="D310" s="91" t="str">
        <f>IFERROR(VLOOKUP(C310,produto,2,FALSE), "Produto não encontrado")</f>
        <v>VELCRO FEMEA 50mm VINHO V328</v>
      </c>
      <c r="E310" s="92" t="s">
        <v>526</v>
      </c>
      <c r="F310" s="93">
        <v>2.0</v>
      </c>
      <c r="G310" s="101" t="s">
        <v>195</v>
      </c>
      <c r="H310" s="97"/>
      <c r="I310" s="86"/>
      <c r="J310" s="87"/>
      <c r="K310" s="88"/>
    </row>
    <row r="311" ht="26.25" customHeight="1">
      <c r="A311" s="90">
        <v>45936.0</v>
      </c>
      <c r="B311" s="81" t="str">
        <f t="shared" si="1"/>
        <v>2025-10</v>
      </c>
      <c r="C311" s="107">
        <v>2.0000006E8</v>
      </c>
      <c r="D311" s="91" t="str">
        <f>IFERROR(VLOOKUP(C311,produto,2,FALSE), "Produto não encontrado")</f>
        <v>VELCRO FEMEA 50mm VERMELHO</v>
      </c>
      <c r="E311" s="92" t="s">
        <v>526</v>
      </c>
      <c r="F311" s="93">
        <v>1.0</v>
      </c>
      <c r="G311" s="101" t="s">
        <v>195</v>
      </c>
      <c r="H311" s="97"/>
      <c r="I311" s="86"/>
      <c r="J311" s="87"/>
      <c r="K311" s="88"/>
    </row>
    <row r="312" ht="26.25" customHeight="1">
      <c r="A312" s="90">
        <v>45936.0</v>
      </c>
      <c r="B312" s="81" t="str">
        <f t="shared" si="1"/>
        <v>2025-10</v>
      </c>
      <c r="C312" s="107">
        <v>2.00000061E8</v>
      </c>
      <c r="D312" s="91" t="str">
        <f>IFERROR(VLOOKUP(C312,produto,2,FALSE), "Produto não encontrado")</f>
        <v>VELCRO FEMEA 50mm AMARELO</v>
      </c>
      <c r="E312" s="92" t="s">
        <v>526</v>
      </c>
      <c r="F312" s="93">
        <v>1.0</v>
      </c>
      <c r="G312" s="101" t="s">
        <v>195</v>
      </c>
      <c r="H312" s="97"/>
      <c r="I312" s="86"/>
      <c r="J312" s="87"/>
      <c r="K312" s="88"/>
    </row>
    <row r="313" ht="26.25" customHeight="1">
      <c r="A313" s="90">
        <v>45936.0</v>
      </c>
      <c r="B313" s="81" t="str">
        <f t="shared" si="1"/>
        <v>2025-10</v>
      </c>
      <c r="C313" s="107">
        <v>2.00000062E8</v>
      </c>
      <c r="D313" s="91" t="str">
        <f>IFERROR(VLOOKUP(C313,produto,2,FALSE), "Produto não encontrado")</f>
        <v>VELCRO FEMEA 50mm LARANJA V627</v>
      </c>
      <c r="E313" s="92" t="s">
        <v>526</v>
      </c>
      <c r="F313" s="93">
        <v>2.0</v>
      </c>
      <c r="G313" s="101" t="s">
        <v>195</v>
      </c>
      <c r="H313" s="97"/>
      <c r="I313" s="86"/>
      <c r="J313" s="87"/>
      <c r="K313" s="88"/>
    </row>
    <row r="314" ht="26.25" customHeight="1">
      <c r="A314" s="90">
        <v>45936.0</v>
      </c>
      <c r="B314" s="81" t="str">
        <f t="shared" si="1"/>
        <v>2025-10</v>
      </c>
      <c r="C314" s="107">
        <v>2.00000063E8</v>
      </c>
      <c r="D314" s="91" t="str">
        <f>IFERROR(VLOOKUP(C314,produto,2,FALSE), "Produto não encontrado")</f>
        <v>VELCRO FEMEA 50mm PRETO V330</v>
      </c>
      <c r="E314" s="92" t="s">
        <v>526</v>
      </c>
      <c r="F314" s="93">
        <v>2.0</v>
      </c>
      <c r="G314" s="101" t="s">
        <v>195</v>
      </c>
      <c r="H314" s="97"/>
      <c r="I314" s="86"/>
      <c r="J314" s="87"/>
      <c r="K314" s="88"/>
    </row>
    <row r="315" ht="26.25" customHeight="1">
      <c r="A315" s="90">
        <v>45936.0</v>
      </c>
      <c r="B315" s="81" t="str">
        <f t="shared" si="1"/>
        <v>2025-10</v>
      </c>
      <c r="C315" s="107">
        <v>2.00000064E8</v>
      </c>
      <c r="D315" s="91" t="str">
        <f>IFERROR(VLOOKUP(C315,produto,2,FALSE), "Produto não encontrado")</f>
        <v>VELCRO FEMEA 50mm BEGE</v>
      </c>
      <c r="E315" s="92" t="s">
        <v>526</v>
      </c>
      <c r="F315" s="93">
        <v>2.0</v>
      </c>
      <c r="G315" s="101" t="s">
        <v>195</v>
      </c>
      <c r="H315" s="97"/>
      <c r="I315" s="86"/>
      <c r="J315" s="87"/>
      <c r="K315" s="88"/>
    </row>
    <row r="316" ht="26.25" customHeight="1">
      <c r="A316" s="90">
        <v>45933.0</v>
      </c>
      <c r="B316" s="81" t="str">
        <f t="shared" si="1"/>
        <v>2025-10</v>
      </c>
      <c r="C316" s="107">
        <v>2.00036189E8</v>
      </c>
      <c r="D316" s="91" t="str">
        <f>IFERROR(VLOOKUP(C316,produto,2,FALSE), "Produto não encontrado")</f>
        <v>COPO DESCARTAVEL 180ML</v>
      </c>
      <c r="E316" s="92" t="s">
        <v>528</v>
      </c>
      <c r="F316" s="93">
        <v>3.0</v>
      </c>
      <c r="G316" s="106" t="s">
        <v>547</v>
      </c>
      <c r="H316" s="97"/>
      <c r="I316" s="86"/>
      <c r="J316" s="87"/>
      <c r="K316" s="88"/>
    </row>
    <row r="317" ht="26.25" customHeight="1">
      <c r="A317" s="90">
        <v>45933.0</v>
      </c>
      <c r="B317" s="81" t="str">
        <f t="shared" si="1"/>
        <v>2025-10</v>
      </c>
      <c r="C317" s="107">
        <v>2.00033068E8</v>
      </c>
      <c r="D317" s="91" t="str">
        <f>IFERROR(VLOOKUP(C317,produto,2,FALSE), "Produto não encontrado")</f>
        <v> PAPEL SULFITE A4 210 X 297MM 75G BRANCO MULTIUSO PACOTE COM 500 FLS</v>
      </c>
      <c r="E317" s="92" t="s">
        <v>528</v>
      </c>
      <c r="F317" s="93">
        <v>1.0</v>
      </c>
      <c r="G317" s="106" t="s">
        <v>547</v>
      </c>
      <c r="H317" s="97"/>
      <c r="I317" s="86"/>
      <c r="J317" s="87"/>
      <c r="K317" s="88"/>
    </row>
    <row r="318" ht="26.25" customHeight="1">
      <c r="A318" s="90">
        <v>45933.0</v>
      </c>
      <c r="B318" s="81" t="str">
        <f t="shared" si="1"/>
        <v>2025-10</v>
      </c>
      <c r="C318" s="107">
        <v>2.00036202E8</v>
      </c>
      <c r="D318" s="91" t="str">
        <f>IFERROR(VLOOKUP(C318,produto,2,FALSE), "Produto não encontrado")</f>
        <v>CANETA ESFEROGRAFICA PONTA MEDIA COR AZUL</v>
      </c>
      <c r="E318" s="92" t="s">
        <v>528</v>
      </c>
      <c r="F318" s="93">
        <v>1.0</v>
      </c>
      <c r="G318" s="106" t="s">
        <v>547</v>
      </c>
      <c r="H318" s="97"/>
      <c r="I318" s="86"/>
      <c r="J318" s="87"/>
      <c r="K318" s="88"/>
    </row>
    <row r="319" ht="26.25" customHeight="1">
      <c r="A319" s="90">
        <v>45933.0</v>
      </c>
      <c r="B319" s="81" t="str">
        <f t="shared" si="1"/>
        <v>2025-10</v>
      </c>
      <c r="C319" s="107">
        <v>2.00036189E8</v>
      </c>
      <c r="D319" s="91" t="str">
        <f>IFERROR(VLOOKUP(C319,produto,2,FALSE), "Produto não encontrado")</f>
        <v>COPO DESCARTAVEL 180ML</v>
      </c>
      <c r="E319" s="92" t="s">
        <v>528</v>
      </c>
      <c r="F319" s="93">
        <v>1.0</v>
      </c>
      <c r="G319" s="106" t="s">
        <v>547</v>
      </c>
      <c r="H319" s="97"/>
      <c r="I319" s="86"/>
      <c r="J319" s="87"/>
      <c r="K319" s="88"/>
    </row>
    <row r="320" ht="26.25" customHeight="1">
      <c r="A320" s="90">
        <v>45931.0</v>
      </c>
      <c r="B320" s="81" t="str">
        <f t="shared" si="1"/>
        <v>2025-10</v>
      </c>
      <c r="C320" s="107">
        <v>2.00061185E8</v>
      </c>
      <c r="D320" s="91" t="str">
        <f>IFERROR(VLOOKUP(C320,produto,2,FALSE), "Produto não encontrado")</f>
        <v>LAMINA PARA ESTILETE ESTREITO DE 18CM</v>
      </c>
      <c r="E320" s="92" t="s">
        <v>528</v>
      </c>
      <c r="F320" s="93">
        <v>1.0</v>
      </c>
      <c r="G320" s="106" t="s">
        <v>568</v>
      </c>
      <c r="H320" s="97"/>
      <c r="I320" s="86"/>
      <c r="J320" s="87"/>
      <c r="K320" s="88"/>
    </row>
    <row r="321" ht="26.25" customHeight="1">
      <c r="A321" s="90">
        <v>45931.0</v>
      </c>
      <c r="B321" s="81" t="str">
        <f t="shared" si="1"/>
        <v>2025-10</v>
      </c>
      <c r="C321" s="107">
        <v>2.0000424E8</v>
      </c>
      <c r="D321" s="91" t="str">
        <f>IFERROR(VLOOKUP(C321,produto,2,FALSE), "Produto não encontrado")</f>
        <v>INJETADO FECHO REGULADOR 50MM</v>
      </c>
      <c r="E321" s="92" t="s">
        <v>528</v>
      </c>
      <c r="F321" s="93">
        <v>2.0</v>
      </c>
      <c r="G321" s="106" t="s">
        <v>568</v>
      </c>
      <c r="H321" s="97"/>
      <c r="I321" s="86"/>
      <c r="J321" s="87"/>
      <c r="K321" s="88"/>
    </row>
    <row r="322" ht="26.25" customHeight="1">
      <c r="A322" s="90">
        <v>45930.0</v>
      </c>
      <c r="B322" s="81" t="str">
        <f t="shared" si="1"/>
        <v>2025-09</v>
      </c>
      <c r="C322" s="108" t="s">
        <v>206</v>
      </c>
      <c r="D322" s="91" t="str">
        <f>IFERROR(VLOOKUP(C322,produto,2,FALSE), "Produto não encontrado")</f>
        <v>PLACA TERMOPLASTICA - ORFIT ECO BLACK NS 45 x 60cm x 3.2mm MINI Perforated</v>
      </c>
      <c r="E322" s="92" t="s">
        <v>528</v>
      </c>
      <c r="F322" s="93">
        <v>1.0</v>
      </c>
      <c r="G322" s="106" t="s">
        <v>547</v>
      </c>
      <c r="H322" s="97"/>
      <c r="I322" s="86"/>
      <c r="J322" s="87"/>
      <c r="K322" s="88"/>
    </row>
    <row r="323" ht="26.25" customHeight="1">
      <c r="A323" s="90">
        <v>45930.0</v>
      </c>
      <c r="B323" s="81" t="str">
        <f t="shared" si="1"/>
        <v>2025-09</v>
      </c>
      <c r="C323" s="107">
        <v>2.00004226E8</v>
      </c>
      <c r="D323" s="91" t="str">
        <f>IFERROR(VLOOKUP(C323,produto,2,FALSE), "Produto não encontrado")</f>
        <v>INJETADO FECHO ENGATE 50MM</v>
      </c>
      <c r="E323" s="92" t="s">
        <v>528</v>
      </c>
      <c r="F323" s="93">
        <v>2.0</v>
      </c>
      <c r="G323" s="106" t="s">
        <v>568</v>
      </c>
      <c r="H323" s="97"/>
      <c r="I323" s="86"/>
      <c r="J323" s="87"/>
      <c r="K323" s="88"/>
    </row>
    <row r="324" ht="26.25" customHeight="1">
      <c r="A324" s="90">
        <v>45930.0</v>
      </c>
      <c r="B324" s="81" t="str">
        <f t="shared" si="1"/>
        <v>2025-09</v>
      </c>
      <c r="C324" s="107">
        <v>2.00037491E8</v>
      </c>
      <c r="D324" s="91" t="str">
        <f>IFERROR(VLOOKUP(C324,produto,2,FALSE), "Produto não encontrado")</f>
        <v>MASCARA CIRURGICA TRIPLA</v>
      </c>
      <c r="E324" s="92" t="s">
        <v>528</v>
      </c>
      <c r="F324" s="93">
        <v>1.0</v>
      </c>
      <c r="G324" s="106" t="s">
        <v>568</v>
      </c>
      <c r="H324" s="97"/>
      <c r="I324" s="86"/>
      <c r="J324" s="87"/>
      <c r="K324" s="88"/>
    </row>
    <row r="325" ht="26.25" customHeight="1">
      <c r="A325" s="90">
        <v>45930.0</v>
      </c>
      <c r="B325" s="81" t="str">
        <f t="shared" si="1"/>
        <v>2025-09</v>
      </c>
      <c r="C325" s="107">
        <v>2.00003278E8</v>
      </c>
      <c r="D325" s="91" t="str">
        <f>IFERROR(VLOOKUP(C325,produto,2,FALSE), "Produto não encontrado")</f>
        <v>LINHA 60 100% POLIESTER - 80 GRAMAS - PRETA</v>
      </c>
      <c r="E325" s="92" t="s">
        <v>528</v>
      </c>
      <c r="F325" s="93">
        <v>1.0</v>
      </c>
      <c r="G325" s="106" t="s">
        <v>568</v>
      </c>
      <c r="H325" s="97"/>
      <c r="I325" s="86"/>
      <c r="J325" s="87"/>
      <c r="K325" s="88"/>
    </row>
    <row r="326" ht="26.25" customHeight="1">
      <c r="A326" s="90">
        <v>45929.0</v>
      </c>
      <c r="B326" s="81" t="str">
        <f t="shared" si="1"/>
        <v>2025-09</v>
      </c>
      <c r="C326" s="107">
        <v>2.00000039E8</v>
      </c>
      <c r="D326" s="91" t="str">
        <f>IFERROR(VLOOKUP(C326,produto,2,FALSE), "Produto não encontrado")</f>
        <v>PASSADOR OVAL FERRO (NIVELADOR)  50MM</v>
      </c>
      <c r="E326" s="92" t="s">
        <v>528</v>
      </c>
      <c r="F326" s="93">
        <v>1.0</v>
      </c>
      <c r="G326" s="106" t="s">
        <v>575</v>
      </c>
      <c r="H326" s="97"/>
      <c r="I326" s="86"/>
      <c r="J326" s="87"/>
      <c r="K326" s="88"/>
    </row>
    <row r="327" ht="26.25" customHeight="1">
      <c r="A327" s="90">
        <v>45929.0</v>
      </c>
      <c r="B327" s="81" t="str">
        <f t="shared" si="1"/>
        <v>2025-09</v>
      </c>
      <c r="C327" s="107">
        <v>2.00036189E8</v>
      </c>
      <c r="D327" s="91" t="str">
        <f>IFERROR(VLOOKUP(C327,produto,2,FALSE), "Produto não encontrado")</f>
        <v>COPO DESCARTAVEL 180ML</v>
      </c>
      <c r="E327" s="92" t="s">
        <v>528</v>
      </c>
      <c r="F327" s="93">
        <v>1.0</v>
      </c>
      <c r="G327" s="101" t="s">
        <v>586</v>
      </c>
      <c r="H327" s="97"/>
      <c r="I327" s="86"/>
      <c r="J327" s="87"/>
      <c r="K327" s="88"/>
    </row>
    <row r="328" ht="26.25" customHeight="1">
      <c r="A328" s="90">
        <v>45929.0</v>
      </c>
      <c r="B328" s="81" t="str">
        <f t="shared" si="1"/>
        <v>2025-09</v>
      </c>
      <c r="C328" s="107">
        <v>2.00043839E8</v>
      </c>
      <c r="D328" s="91" t="str">
        <f>IFERROR(VLOOKUP(C328,produto,2,FALSE), "Produto não encontrado")</f>
        <v>PASTA POLIONDA COM ABA E ELASTICO 34X25X55MM</v>
      </c>
      <c r="E328" s="92" t="s">
        <v>528</v>
      </c>
      <c r="F328" s="93">
        <v>2.0</v>
      </c>
      <c r="G328" s="101" t="s">
        <v>583</v>
      </c>
      <c r="H328" s="97"/>
      <c r="I328" s="86"/>
      <c r="J328" s="87"/>
      <c r="K328" s="88"/>
    </row>
    <row r="329" ht="26.25" customHeight="1">
      <c r="A329" s="90">
        <v>45929.0</v>
      </c>
      <c r="B329" s="81" t="str">
        <f t="shared" si="1"/>
        <v>2025-09</v>
      </c>
      <c r="C329" s="107">
        <v>2.00000046E8</v>
      </c>
      <c r="D329" s="91" t="str">
        <f>IFERROR(VLOOKUP(C329,produto,2,FALSE), "Produto não encontrado")</f>
        <v>Malha Tubular de Algodão 15cmx15m</v>
      </c>
      <c r="E329" s="92" t="s">
        <v>528</v>
      </c>
      <c r="F329" s="93">
        <v>3.0</v>
      </c>
      <c r="G329" s="106" t="s">
        <v>575</v>
      </c>
      <c r="H329" s="97"/>
      <c r="I329" s="86"/>
      <c r="J329" s="87"/>
      <c r="K329" s="88"/>
    </row>
    <row r="330" ht="26.25" customHeight="1">
      <c r="A330" s="90">
        <v>45926.0</v>
      </c>
      <c r="B330" s="81" t="str">
        <f t="shared" si="1"/>
        <v>2025-09</v>
      </c>
      <c r="C330" s="107">
        <v>2.00083825E8</v>
      </c>
      <c r="D330" s="91" t="str">
        <f>IFERROR(VLOOKUP(C330,produto,2,FALSE), "Produto não encontrado")</f>
        <v>ESPUMA LAMINADA D-33 SELADA 5000X1900X5.00CM</v>
      </c>
      <c r="E330" s="92" t="s">
        <v>528</v>
      </c>
      <c r="F330" s="93">
        <v>1.0</v>
      </c>
      <c r="G330" s="106" t="s">
        <v>568</v>
      </c>
      <c r="H330" s="97" t="s">
        <v>589</v>
      </c>
      <c r="I330" s="86"/>
      <c r="J330" s="87"/>
      <c r="K330" s="88"/>
    </row>
    <row r="331" ht="26.25" customHeight="1">
      <c r="A331" s="90">
        <v>45925.0</v>
      </c>
      <c r="B331" s="81" t="str">
        <f t="shared" si="1"/>
        <v>2025-09</v>
      </c>
      <c r="C331" s="108" t="s">
        <v>211</v>
      </c>
      <c r="D331" s="91" t="str">
        <f>IFERROR(VLOOKUP(C331,produto,2,FALSE), "Produto não encontrado")</f>
        <v>PLACA TERMOPLASTICA - ORFIT ECO NATUREL 45 x 60cm x 3.2mm MINI Perforated</v>
      </c>
      <c r="E331" s="92" t="s">
        <v>528</v>
      </c>
      <c r="F331" s="93">
        <v>1.0</v>
      </c>
      <c r="G331" s="101" t="s">
        <v>579</v>
      </c>
      <c r="H331" s="97"/>
      <c r="I331" s="86"/>
      <c r="J331" s="87"/>
      <c r="K331" s="88"/>
    </row>
    <row r="332" ht="26.25" customHeight="1">
      <c r="A332" s="90">
        <v>45924.0</v>
      </c>
      <c r="B332" s="81" t="str">
        <f t="shared" si="1"/>
        <v>2025-09</v>
      </c>
      <c r="C332" s="107">
        <v>2.00001528E8</v>
      </c>
      <c r="D332" s="91" t="str">
        <f>IFERROR(VLOOKUP(C332,produto,2,FALSE), "Produto não encontrado")</f>
        <v> LAPIS GRAFITE Nº 02</v>
      </c>
      <c r="E332" s="92" t="s">
        <v>528</v>
      </c>
      <c r="F332" s="93">
        <v>1.0</v>
      </c>
      <c r="G332" s="106" t="s">
        <v>547</v>
      </c>
      <c r="H332" s="97"/>
      <c r="I332" s="86"/>
      <c r="J332" s="87"/>
      <c r="K332" s="88"/>
    </row>
    <row r="333" ht="26.25" customHeight="1">
      <c r="A333" s="90">
        <v>45924.0</v>
      </c>
      <c r="B333" s="81" t="str">
        <f t="shared" si="1"/>
        <v>2025-09</v>
      </c>
      <c r="C333" s="107">
        <v>2.00000026E8</v>
      </c>
      <c r="D333" s="91" t="str">
        <f>IFERROR(VLOOKUP(C333,produto,2,FALSE), "Produto não encontrado")</f>
        <v>PLACA TERMOPLASTICA - ORFIT ECO NATUREL 45 x 60 cm 2.4 mm </v>
      </c>
      <c r="E333" s="92" t="s">
        <v>528</v>
      </c>
      <c r="F333" s="93">
        <v>1.0</v>
      </c>
      <c r="G333" s="101" t="s">
        <v>579</v>
      </c>
      <c r="H333" s="97"/>
      <c r="I333" s="86"/>
      <c r="J333" s="87"/>
      <c r="K333" s="88"/>
    </row>
    <row r="334" ht="26.25" customHeight="1">
      <c r="A334" s="90">
        <v>45924.0</v>
      </c>
      <c r="B334" s="81" t="str">
        <f t="shared" si="1"/>
        <v>2025-09</v>
      </c>
      <c r="C334" s="107">
        <v>2.00033068E8</v>
      </c>
      <c r="D334" s="91" t="str">
        <f>IFERROR(VLOOKUP(C334,produto,2,FALSE), "Produto não encontrado")</f>
        <v> PAPEL SULFITE A4 210 X 297MM 75G BRANCO MULTIUSO PACOTE COM 500 FLS</v>
      </c>
      <c r="E334" s="92" t="s">
        <v>528</v>
      </c>
      <c r="F334" s="93">
        <v>1.0</v>
      </c>
      <c r="G334" s="101" t="s">
        <v>590</v>
      </c>
      <c r="H334" s="97"/>
      <c r="I334" s="86"/>
      <c r="J334" s="87"/>
      <c r="K334" s="88"/>
    </row>
    <row r="335" ht="26.25" customHeight="1">
      <c r="A335" s="90">
        <v>45919.0</v>
      </c>
      <c r="B335" s="81" t="str">
        <f t="shared" si="1"/>
        <v>2025-09</v>
      </c>
      <c r="C335" s="108" t="s">
        <v>206</v>
      </c>
      <c r="D335" s="91" t="str">
        <f>IFERROR(VLOOKUP(C335,produto,2,FALSE), "Produto não encontrado")</f>
        <v>PLACA TERMOPLASTICA - ORFIT ECO BLACK NS 45 x 60cm x 3.2mm MINI Perforated</v>
      </c>
      <c r="E335" s="92" t="s">
        <v>528</v>
      </c>
      <c r="F335" s="93">
        <v>1.0</v>
      </c>
      <c r="G335" s="101" t="s">
        <v>579</v>
      </c>
      <c r="H335" s="97"/>
      <c r="I335" s="86"/>
      <c r="J335" s="87"/>
      <c r="K335" s="88"/>
    </row>
    <row r="336" ht="26.25" customHeight="1">
      <c r="A336" s="90">
        <v>45919.0</v>
      </c>
      <c r="B336" s="81" t="str">
        <f t="shared" si="1"/>
        <v>2025-09</v>
      </c>
      <c r="C336" s="117">
        <v>2.00000056E8</v>
      </c>
      <c r="D336" s="91" t="str">
        <f>IFERROR(VLOOKUP(C336,produto,2,FALSE), "Produto não encontrado")</f>
        <v>TESOURA /P CORTE TERMOPLASTICO FRIO</v>
      </c>
      <c r="E336" s="92" t="s">
        <v>528</v>
      </c>
      <c r="F336" s="93">
        <v>1.0</v>
      </c>
      <c r="G336" s="101" t="s">
        <v>579</v>
      </c>
      <c r="H336" s="97"/>
      <c r="I336" s="86"/>
      <c r="J336" s="87"/>
      <c r="K336" s="88"/>
    </row>
    <row r="337" ht="26.25" customHeight="1">
      <c r="A337" s="90">
        <v>45919.0</v>
      </c>
      <c r="B337" s="81" t="str">
        <f t="shared" si="1"/>
        <v>2025-09</v>
      </c>
      <c r="C337" s="118">
        <v>2.00000055E8</v>
      </c>
      <c r="D337" s="91" t="str">
        <f>IFERROR(VLOOKUP(C337,produto,2,FALSE), "Produto não encontrado")</f>
        <v>PEÇA / MATERIAL PARA ORTESES tipo FORRAÇÃO AUTO-ADESIVA ESP</v>
      </c>
      <c r="E337" s="92" t="s">
        <v>528</v>
      </c>
      <c r="F337" s="93">
        <v>1.0</v>
      </c>
      <c r="G337" s="101" t="s">
        <v>579</v>
      </c>
      <c r="H337" s="97"/>
      <c r="I337" s="86"/>
      <c r="J337" s="87"/>
      <c r="K337" s="88"/>
    </row>
    <row r="338" ht="26.25" customHeight="1">
      <c r="A338" s="90">
        <v>45919.0</v>
      </c>
      <c r="B338" s="81" t="str">
        <f t="shared" si="1"/>
        <v>2025-09</v>
      </c>
      <c r="C338" s="117">
        <v>2.00000054E8</v>
      </c>
      <c r="D338" s="91" t="str">
        <f>IFERROR(VLOOKUP(C338,produto,2,FALSE), "Produto não encontrado")</f>
        <v>FITA DE BORDA 1,5 x 2,5 x 1mm</v>
      </c>
      <c r="E338" s="92" t="s">
        <v>528</v>
      </c>
      <c r="F338" s="93">
        <v>1.0</v>
      </c>
      <c r="G338" s="101" t="s">
        <v>579</v>
      </c>
      <c r="H338" s="97"/>
      <c r="I338" s="86"/>
      <c r="J338" s="87"/>
      <c r="K338" s="88"/>
    </row>
    <row r="339" ht="26.25" customHeight="1">
      <c r="A339" s="90">
        <v>45919.0</v>
      </c>
      <c r="B339" s="81" t="str">
        <f t="shared" si="1"/>
        <v>2025-09</v>
      </c>
      <c r="C339" s="107">
        <v>2.00000057E8</v>
      </c>
      <c r="D339" s="91" t="str">
        <f>IFERROR(VLOOKUP(C339,produto,2,FALSE), "Produto não encontrado")</f>
        <v>VELCRO FEMEA 50mm AZUL MARINHO V182</v>
      </c>
      <c r="E339" s="92" t="s">
        <v>528</v>
      </c>
      <c r="F339" s="93">
        <v>1.0</v>
      </c>
      <c r="G339" s="101" t="s">
        <v>579</v>
      </c>
      <c r="H339" s="97"/>
      <c r="I339" s="86"/>
      <c r="J339" s="87"/>
      <c r="K339" s="88"/>
    </row>
    <row r="340" ht="26.25" customHeight="1">
      <c r="A340" s="90">
        <v>45919.0</v>
      </c>
      <c r="B340" s="81" t="str">
        <f t="shared" si="1"/>
        <v>2025-09</v>
      </c>
      <c r="C340" s="107">
        <v>2.00000058E8</v>
      </c>
      <c r="D340" s="91" t="str">
        <f>IFERROR(VLOOKUP(C340,produto,2,FALSE), "Produto não encontrado")</f>
        <v>VELCRO FEMEA 50mm Verde Escuro</v>
      </c>
      <c r="E340" s="92" t="s">
        <v>528</v>
      </c>
      <c r="F340" s="93">
        <v>1.0</v>
      </c>
      <c r="G340" s="101" t="s">
        <v>579</v>
      </c>
      <c r="H340" s="97"/>
      <c r="I340" s="86"/>
      <c r="J340" s="87"/>
      <c r="K340" s="88"/>
    </row>
    <row r="341" ht="26.25" customHeight="1">
      <c r="A341" s="90">
        <v>45919.0</v>
      </c>
      <c r="B341" s="81" t="str">
        <f t="shared" si="1"/>
        <v>2025-09</v>
      </c>
      <c r="C341" s="107">
        <v>2.00000057E8</v>
      </c>
      <c r="D341" s="91" t="str">
        <f>IFERROR(VLOOKUP(C341,produto,2,FALSE), "Produto não encontrado")</f>
        <v>VELCRO FEMEA 50mm AZUL MARINHO V182</v>
      </c>
      <c r="E341" s="92" t="s">
        <v>526</v>
      </c>
      <c r="F341" s="93">
        <v>2.0</v>
      </c>
      <c r="G341" s="101" t="s">
        <v>195</v>
      </c>
      <c r="H341" s="97"/>
      <c r="I341" s="86"/>
      <c r="J341" s="87"/>
      <c r="K341" s="88"/>
    </row>
    <row r="342" ht="26.25" customHeight="1">
      <c r="A342" s="90">
        <v>45919.0</v>
      </c>
      <c r="B342" s="81" t="str">
        <f t="shared" si="1"/>
        <v>2025-09</v>
      </c>
      <c r="C342" s="107">
        <v>2.00000058E8</v>
      </c>
      <c r="D342" s="91" t="str">
        <f>IFERROR(VLOOKUP(C342,produto,2,FALSE), "Produto não encontrado")</f>
        <v>VELCRO FEMEA 50mm Verde Escuro</v>
      </c>
      <c r="E342" s="92" t="s">
        <v>526</v>
      </c>
      <c r="F342" s="93">
        <v>2.0</v>
      </c>
      <c r="G342" s="101" t="s">
        <v>195</v>
      </c>
      <c r="H342" s="97"/>
      <c r="I342" s="86"/>
      <c r="J342" s="87"/>
      <c r="K342" s="88"/>
    </row>
    <row r="343" ht="26.25" customHeight="1">
      <c r="A343" s="90">
        <v>45919.0</v>
      </c>
      <c r="B343" s="81" t="str">
        <f t="shared" si="1"/>
        <v>2025-09</v>
      </c>
      <c r="C343" s="107">
        <v>2.00000056E8</v>
      </c>
      <c r="D343" s="91" t="str">
        <f>IFERROR(VLOOKUP(C343,produto,2,FALSE), "Produto não encontrado")</f>
        <v>TESOURA /P CORTE TERMOPLASTICO FRIO</v>
      </c>
      <c r="E343" s="92" t="s">
        <v>526</v>
      </c>
      <c r="F343" s="93">
        <v>1.0</v>
      </c>
      <c r="G343" s="101" t="s">
        <v>195</v>
      </c>
      <c r="H343" s="97"/>
      <c r="I343" s="86"/>
      <c r="J343" s="87"/>
      <c r="K343" s="88"/>
    </row>
    <row r="344" ht="26.25" customHeight="1">
      <c r="A344" s="90">
        <v>45919.0</v>
      </c>
      <c r="B344" s="81" t="str">
        <f t="shared" si="1"/>
        <v>2025-09</v>
      </c>
      <c r="C344" s="107">
        <v>2.00000055E8</v>
      </c>
      <c r="D344" s="91" t="str">
        <f>IFERROR(VLOOKUP(C344,produto,2,FALSE), "Produto não encontrado")</f>
        <v>PEÇA / MATERIAL PARA ORTESES tipo FORRAÇÃO AUTO-ADESIVA ESP</v>
      </c>
      <c r="E344" s="92" t="s">
        <v>526</v>
      </c>
      <c r="F344" s="93">
        <v>3.0</v>
      </c>
      <c r="G344" s="101" t="s">
        <v>195</v>
      </c>
      <c r="H344" s="97"/>
      <c r="I344" s="86"/>
      <c r="J344" s="87"/>
      <c r="K344" s="88"/>
    </row>
    <row r="345" ht="26.25" customHeight="1">
      <c r="A345" s="90">
        <v>45919.0</v>
      </c>
      <c r="B345" s="81" t="str">
        <f t="shared" si="1"/>
        <v>2025-09</v>
      </c>
      <c r="C345" s="107">
        <v>2.00000054E8</v>
      </c>
      <c r="D345" s="91" t="str">
        <f>IFERROR(VLOOKUP(C345,produto,2,FALSE), "Produto não encontrado")</f>
        <v>FITA DE BORDA 1,5 x 2,5 x 1mm</v>
      </c>
      <c r="E345" s="92" t="s">
        <v>526</v>
      </c>
      <c r="F345" s="93">
        <v>2.0</v>
      </c>
      <c r="G345" s="101" t="s">
        <v>195</v>
      </c>
      <c r="H345" s="97"/>
      <c r="I345" s="86"/>
      <c r="J345" s="87"/>
      <c r="K345" s="88"/>
    </row>
    <row r="346" ht="26.25" customHeight="1">
      <c r="A346" s="90">
        <v>45919.0</v>
      </c>
      <c r="B346" s="81" t="str">
        <f t="shared" si="1"/>
        <v>2025-09</v>
      </c>
      <c r="C346" s="107">
        <v>2.00036488E8</v>
      </c>
      <c r="D346" s="91" t="str">
        <f>IFERROR(VLOOKUP(C346,produto,2,FALSE), "Produto não encontrado")</f>
        <v>CANETA MARCADOR PERMANENTE PONTA 2.0mm</v>
      </c>
      <c r="E346" s="92" t="s">
        <v>528</v>
      </c>
      <c r="F346" s="93">
        <v>1.0</v>
      </c>
      <c r="G346" s="101" t="s">
        <v>591</v>
      </c>
      <c r="H346" s="97"/>
      <c r="I346" s="86"/>
      <c r="J346" s="87"/>
      <c r="K346" s="88"/>
    </row>
    <row r="347" ht="26.25" customHeight="1">
      <c r="A347" s="90">
        <v>45918.0</v>
      </c>
      <c r="B347" s="81" t="str">
        <f t="shared" si="1"/>
        <v>2025-09</v>
      </c>
      <c r="C347" s="107">
        <v>2.00083825E8</v>
      </c>
      <c r="D347" s="91" t="str">
        <f>IFERROR(VLOOKUP(C347,produto,2,FALSE), "Produto não encontrado")</f>
        <v>ESPUMA LAMINADA D-33 SELADA 5000X1900X5.00CM</v>
      </c>
      <c r="E347" s="92" t="s">
        <v>528</v>
      </c>
      <c r="F347" s="93">
        <v>0.5</v>
      </c>
      <c r="G347" s="106" t="s">
        <v>575</v>
      </c>
      <c r="H347" s="97" t="s">
        <v>592</v>
      </c>
      <c r="I347" s="86"/>
      <c r="J347" s="87"/>
      <c r="K347" s="88"/>
    </row>
    <row r="348" ht="26.25" customHeight="1">
      <c r="A348" s="90">
        <v>45918.0</v>
      </c>
      <c r="B348" s="81" t="str">
        <f t="shared" si="1"/>
        <v>2025-09</v>
      </c>
      <c r="C348" s="107">
        <v>2.00033068E8</v>
      </c>
      <c r="D348" s="91" t="str">
        <f>IFERROR(VLOOKUP(C348,produto,2,FALSE), "Produto não encontrado")</f>
        <v> PAPEL SULFITE A4 210 X 297MM 75G BRANCO MULTIUSO PACOTE COM 500 FLS</v>
      </c>
      <c r="E348" s="92" t="s">
        <v>528</v>
      </c>
      <c r="F348" s="93">
        <v>1.0</v>
      </c>
      <c r="G348" s="106" t="s">
        <v>547</v>
      </c>
      <c r="H348" s="97"/>
      <c r="I348" s="86"/>
      <c r="J348" s="87"/>
      <c r="K348" s="88"/>
    </row>
    <row r="349" ht="26.25" customHeight="1">
      <c r="A349" s="90">
        <v>45911.0</v>
      </c>
      <c r="B349" s="81" t="str">
        <f t="shared" si="1"/>
        <v>2025-09</v>
      </c>
      <c r="C349" s="107">
        <v>2.00036656E8</v>
      </c>
      <c r="D349" s="91" t="str">
        <f>IFERROR(VLOOKUP(C349,produto,2,FALSE), "Produto não encontrado")</f>
        <v>FITA ADESIVA TRANSPARENTE 45MM X 50M</v>
      </c>
      <c r="E349" s="92" t="s">
        <v>528</v>
      </c>
      <c r="F349" s="93">
        <v>1.0</v>
      </c>
      <c r="G349" s="106" t="s">
        <v>547</v>
      </c>
      <c r="H349" s="97"/>
      <c r="I349" s="86"/>
      <c r="J349" s="87"/>
      <c r="K349" s="88"/>
    </row>
    <row r="350" ht="26.25" customHeight="1">
      <c r="A350" s="90">
        <v>45911.0</v>
      </c>
      <c r="B350" s="81" t="str">
        <f t="shared" si="1"/>
        <v>2025-09</v>
      </c>
      <c r="C350" s="107">
        <v>2.00043839E8</v>
      </c>
      <c r="D350" s="91" t="str">
        <f>IFERROR(VLOOKUP(C350,produto,2,FALSE), "Produto não encontrado")</f>
        <v>PASTA POLIONDA COM ABA E ELASTICO 34X25X55MM</v>
      </c>
      <c r="E350" s="92" t="s">
        <v>528</v>
      </c>
      <c r="F350" s="93">
        <v>2.0</v>
      </c>
      <c r="G350" s="106" t="s">
        <v>547</v>
      </c>
      <c r="H350" s="97"/>
      <c r="I350" s="86"/>
      <c r="J350" s="87"/>
      <c r="K350" s="88"/>
    </row>
    <row r="351" ht="26.25" customHeight="1">
      <c r="A351" s="90">
        <v>45910.0</v>
      </c>
      <c r="B351" s="81" t="str">
        <f t="shared" si="1"/>
        <v>2025-09</v>
      </c>
      <c r="C351" s="107">
        <v>2.00004237E8</v>
      </c>
      <c r="D351" s="91" t="str">
        <f>IFERROR(VLOOKUP(C351,produto,2,FALSE), "Produto não encontrado")</f>
        <v>INJETADO FECHO REGULADOR  25MM</v>
      </c>
      <c r="E351" s="92" t="s">
        <v>528</v>
      </c>
      <c r="F351" s="93">
        <v>2.0</v>
      </c>
      <c r="G351" s="106" t="s">
        <v>571</v>
      </c>
      <c r="H351" s="97"/>
      <c r="I351" s="86"/>
      <c r="J351" s="87"/>
      <c r="K351" s="88"/>
    </row>
    <row r="352" ht="26.25" customHeight="1">
      <c r="A352" s="90">
        <v>45910.0</v>
      </c>
      <c r="B352" s="81" t="str">
        <f t="shared" si="1"/>
        <v>2025-09</v>
      </c>
      <c r="C352" s="107">
        <v>2.00001528E8</v>
      </c>
      <c r="D352" s="91" t="str">
        <f>IFERROR(VLOOKUP(C352,produto,2,FALSE), "Produto não encontrado")</f>
        <v> LAPIS GRAFITE Nº 02</v>
      </c>
      <c r="E352" s="92" t="s">
        <v>528</v>
      </c>
      <c r="F352" s="93">
        <v>2.0</v>
      </c>
      <c r="G352" s="106" t="s">
        <v>571</v>
      </c>
      <c r="H352" s="97"/>
      <c r="I352" s="86"/>
      <c r="J352" s="87"/>
      <c r="K352" s="88"/>
    </row>
    <row r="353" ht="26.25" customHeight="1">
      <c r="A353" s="90">
        <v>45910.0</v>
      </c>
      <c r="B353" s="81" t="str">
        <f t="shared" si="1"/>
        <v>2025-09</v>
      </c>
      <c r="C353" s="107">
        <v>2.00037892E8</v>
      </c>
      <c r="D353" s="91" t="str">
        <f>IFERROR(VLOOKUP(C353,produto,2,FALSE), "Produto não encontrado")</f>
        <v>FITA ADESIVA CREPE 19MM X 50M</v>
      </c>
      <c r="E353" s="92" t="s">
        <v>528</v>
      </c>
      <c r="F353" s="93">
        <v>1.0</v>
      </c>
      <c r="G353" s="106" t="s">
        <v>571</v>
      </c>
      <c r="H353" s="97"/>
      <c r="I353" s="86"/>
      <c r="J353" s="87"/>
      <c r="K353" s="88"/>
    </row>
    <row r="354" ht="22.5" customHeight="1">
      <c r="A354" s="90">
        <v>45910.0</v>
      </c>
      <c r="B354" s="81" t="str">
        <f t="shared" si="1"/>
        <v>2025-09</v>
      </c>
      <c r="C354" s="107">
        <v>2.00056391E8</v>
      </c>
      <c r="D354" s="91" t="str">
        <f>IFERROR(VLOOKUP(C354,produto,2,FALSE), "Produto não encontrado")</f>
        <v>FITA CREPE DE 48X50MM</v>
      </c>
      <c r="E354" s="92" t="s">
        <v>528</v>
      </c>
      <c r="F354" s="93">
        <v>1.0</v>
      </c>
      <c r="G354" s="106" t="s">
        <v>571</v>
      </c>
      <c r="H354" s="97"/>
      <c r="I354" s="86"/>
      <c r="J354" s="88"/>
      <c r="K354" s="88"/>
    </row>
    <row r="355" ht="22.5" customHeight="1">
      <c r="A355" s="90">
        <v>45910.0</v>
      </c>
      <c r="B355" s="81" t="str">
        <f t="shared" si="1"/>
        <v>2025-09</v>
      </c>
      <c r="C355" s="107">
        <v>2.00043839E8</v>
      </c>
      <c r="D355" s="91" t="str">
        <f>IFERROR(VLOOKUP(C355,produto,2,FALSE), "Produto não encontrado")</f>
        <v>PASTA POLIONDA COM ABA E ELASTICO 34X25X55MM</v>
      </c>
      <c r="E355" s="92" t="s">
        <v>528</v>
      </c>
      <c r="F355" s="93">
        <v>1.0</v>
      </c>
      <c r="G355" s="101" t="s">
        <v>582</v>
      </c>
      <c r="H355" s="97"/>
      <c r="I355" s="86"/>
      <c r="J355" s="88"/>
      <c r="K355" s="88"/>
    </row>
    <row r="356" ht="22.5" customHeight="1">
      <c r="A356" s="90">
        <v>45910.0</v>
      </c>
      <c r="B356" s="81" t="str">
        <f t="shared" si="1"/>
        <v>2025-09</v>
      </c>
      <c r="C356" s="107">
        <v>2.00000052E8</v>
      </c>
      <c r="D356" s="91" t="str">
        <f>IFERROR(VLOOKUP(C356,produto,2,FALSE), "Produto não encontrado")</f>
        <v>Tercido Navalhado Verde</v>
      </c>
      <c r="E356" s="92" t="s">
        <v>528</v>
      </c>
      <c r="F356" s="93">
        <v>1.8</v>
      </c>
      <c r="G356" s="106" t="s">
        <v>568</v>
      </c>
      <c r="H356" s="85" t="s">
        <v>593</v>
      </c>
      <c r="I356" s="86"/>
      <c r="J356" s="88"/>
      <c r="K356" s="88"/>
    </row>
    <row r="357" ht="22.5" customHeight="1">
      <c r="A357" s="90">
        <v>45910.0</v>
      </c>
      <c r="B357" s="81" t="str">
        <f t="shared" si="1"/>
        <v>2025-09</v>
      </c>
      <c r="C357" s="107">
        <v>2.00000052E8</v>
      </c>
      <c r="D357" s="91" t="str">
        <f>IFERROR(VLOOKUP(C357,produto,2,FALSE), "Produto não encontrado")</f>
        <v>Tercido Navalhado Verde</v>
      </c>
      <c r="E357" s="92" t="s">
        <v>526</v>
      </c>
      <c r="F357" s="93">
        <v>20.0</v>
      </c>
      <c r="G357" s="106"/>
      <c r="H357" s="85"/>
      <c r="I357" s="86"/>
      <c r="J357" s="88"/>
      <c r="K357" s="88"/>
    </row>
    <row r="358" ht="22.5" customHeight="1">
      <c r="A358" s="90">
        <v>45910.0</v>
      </c>
      <c r="B358" s="81" t="str">
        <f t="shared" si="1"/>
        <v>2025-09</v>
      </c>
      <c r="C358" s="107">
        <v>2.00043839E8</v>
      </c>
      <c r="D358" s="91" t="str">
        <f>IFERROR(VLOOKUP(C358,produto,2,FALSE), "Produto não encontrado")</f>
        <v>PASTA POLIONDA COM ABA E ELASTICO 34X25X55MM</v>
      </c>
      <c r="E358" s="92" t="s">
        <v>528</v>
      </c>
      <c r="F358" s="93">
        <v>3.0</v>
      </c>
      <c r="G358" s="101" t="s">
        <v>594</v>
      </c>
      <c r="H358" s="97"/>
      <c r="I358" s="86"/>
      <c r="J358" s="88"/>
      <c r="K358" s="88"/>
    </row>
    <row r="359" ht="22.5" customHeight="1">
      <c r="A359" s="90">
        <v>45910.0</v>
      </c>
      <c r="B359" s="81" t="str">
        <f t="shared" si="1"/>
        <v>2025-09</v>
      </c>
      <c r="C359" s="108" t="s">
        <v>206</v>
      </c>
      <c r="D359" s="91" t="str">
        <f>IFERROR(VLOOKUP(C359,produto,2,FALSE), "Produto não encontrado")</f>
        <v>PLACA TERMOPLASTICA - ORFIT ECO BLACK NS 45 x 60cm x 3.2mm MINI Perforated</v>
      </c>
      <c r="E359" s="92" t="s">
        <v>528</v>
      </c>
      <c r="F359" s="93">
        <v>1.0</v>
      </c>
      <c r="G359" s="101" t="s">
        <v>579</v>
      </c>
      <c r="H359" s="97"/>
      <c r="I359" s="86"/>
      <c r="J359" s="88"/>
      <c r="K359" s="88"/>
    </row>
    <row r="360" ht="22.5" customHeight="1">
      <c r="A360" s="90">
        <v>45909.0</v>
      </c>
      <c r="B360" s="81" t="str">
        <f t="shared" si="1"/>
        <v>2025-09</v>
      </c>
      <c r="C360" s="107">
        <v>2.00043839E8</v>
      </c>
      <c r="D360" s="91" t="str">
        <f>IFERROR(VLOOKUP(C360,produto,2,FALSE), "Produto não encontrado")</f>
        <v>PASTA POLIONDA COM ABA E ELASTICO 34X25X55MM</v>
      </c>
      <c r="E360" s="92" t="s">
        <v>528</v>
      </c>
      <c r="F360" s="93">
        <v>1.0</v>
      </c>
      <c r="G360" s="106" t="s">
        <v>569</v>
      </c>
      <c r="H360" s="97"/>
      <c r="I360" s="86"/>
      <c r="J360" s="88"/>
      <c r="K360" s="88"/>
    </row>
    <row r="361" ht="22.5" customHeight="1">
      <c r="A361" s="90">
        <v>45909.0</v>
      </c>
      <c r="B361" s="81" t="str">
        <f t="shared" si="1"/>
        <v>2025-09</v>
      </c>
      <c r="C361" s="107">
        <v>2.00033068E8</v>
      </c>
      <c r="D361" s="91" t="str">
        <f>IFERROR(VLOOKUP(C361,produto,2,FALSE), "Produto não encontrado")</f>
        <v> PAPEL SULFITE A4 210 X 297MM 75G BRANCO MULTIUSO PACOTE COM 500 FLS</v>
      </c>
      <c r="E361" s="92" t="s">
        <v>528</v>
      </c>
      <c r="F361" s="93">
        <v>1.0</v>
      </c>
      <c r="G361" s="101" t="s">
        <v>586</v>
      </c>
      <c r="H361" s="97"/>
      <c r="I361" s="86"/>
      <c r="J361" s="88"/>
      <c r="K361" s="88"/>
    </row>
    <row r="362" ht="22.5" customHeight="1">
      <c r="A362" s="90">
        <v>45909.0</v>
      </c>
      <c r="B362" s="81" t="str">
        <f t="shared" si="1"/>
        <v>2025-09</v>
      </c>
      <c r="C362" s="107">
        <v>2.00036752E8</v>
      </c>
      <c r="D362" s="91" t="str">
        <f>IFERROR(VLOOKUP(C362,produto,2,FALSE), "Produto não encontrado")</f>
        <v>ALCOOL 1LT</v>
      </c>
      <c r="E362" s="92" t="s">
        <v>528</v>
      </c>
      <c r="F362" s="93">
        <v>1.0</v>
      </c>
      <c r="G362" s="101" t="s">
        <v>586</v>
      </c>
      <c r="H362" s="97"/>
      <c r="I362" s="86"/>
      <c r="J362" s="88"/>
      <c r="K362" s="88"/>
    </row>
    <row r="363" ht="22.5" customHeight="1">
      <c r="A363" s="90">
        <v>45909.0</v>
      </c>
      <c r="B363" s="81" t="str">
        <f t="shared" si="1"/>
        <v>2025-09</v>
      </c>
      <c r="C363" s="107">
        <v>2.00036489E8</v>
      </c>
      <c r="D363" s="91" t="str">
        <f>IFERROR(VLOOKUP(C363,produto,2,FALSE), "Produto não encontrado")</f>
        <v>CLIPS NIQUELADO Nº 1 COM 100 UN</v>
      </c>
      <c r="E363" s="92" t="s">
        <v>528</v>
      </c>
      <c r="F363" s="93">
        <v>1.0</v>
      </c>
      <c r="G363" s="101" t="s">
        <v>586</v>
      </c>
      <c r="H363" s="97"/>
      <c r="I363" s="86"/>
    </row>
    <row r="364" ht="22.5" customHeight="1">
      <c r="A364" s="90">
        <v>45909.0</v>
      </c>
      <c r="B364" s="81" t="str">
        <f t="shared" si="1"/>
        <v>2025-09</v>
      </c>
      <c r="C364" s="107">
        <v>2.00037413E8</v>
      </c>
      <c r="D364" s="91" t="str">
        <f>IFERROR(VLOOKUP(C364,produto,2,FALSE), "Produto não encontrado")</f>
        <v>CLIPS NIQUELADO Nº 3 COM 50 UN</v>
      </c>
      <c r="E364" s="92" t="s">
        <v>528</v>
      </c>
      <c r="F364" s="93">
        <v>1.0</v>
      </c>
      <c r="G364" s="101" t="s">
        <v>586</v>
      </c>
      <c r="H364" s="97"/>
      <c r="I364" s="86"/>
    </row>
    <row r="365" ht="22.5" customHeight="1">
      <c r="A365" s="90">
        <v>45909.0</v>
      </c>
      <c r="B365" s="81" t="str">
        <f t="shared" si="1"/>
        <v>2025-09</v>
      </c>
      <c r="C365" s="107">
        <v>2.00076172E8</v>
      </c>
      <c r="D365" s="91" t="str">
        <f>IFERROR(VLOOKUP(C365,produto,2,FALSE), "Produto não encontrado")</f>
        <v>LUVA DE VINIL G(9) COM 100 UND</v>
      </c>
      <c r="E365" s="92" t="s">
        <v>528</v>
      </c>
      <c r="F365" s="93">
        <v>1.0</v>
      </c>
      <c r="G365" s="106" t="s">
        <v>571</v>
      </c>
      <c r="H365" s="97"/>
      <c r="I365" s="86"/>
    </row>
    <row r="366" ht="22.5" customHeight="1">
      <c r="A366" s="90">
        <v>45909.0</v>
      </c>
      <c r="B366" s="81" t="str">
        <f t="shared" si="1"/>
        <v>2025-09</v>
      </c>
      <c r="C366" s="107">
        <v>2.0002429E8</v>
      </c>
      <c r="D366" s="91" t="str">
        <f>IFERROR(VLOOKUP(C366,produto,2,FALSE), "Produto não encontrado")</f>
        <v>TRINCHA 3/4 </v>
      </c>
      <c r="E366" s="92" t="s">
        <v>528</v>
      </c>
      <c r="F366" s="93">
        <v>1.0</v>
      </c>
      <c r="G366" s="106" t="s">
        <v>571</v>
      </c>
      <c r="H366" s="97"/>
      <c r="I366" s="86"/>
    </row>
    <row r="367" ht="22.5" customHeight="1">
      <c r="A367" s="90">
        <v>45909.0</v>
      </c>
      <c r="B367" s="81" t="str">
        <f t="shared" si="1"/>
        <v>2025-09</v>
      </c>
      <c r="C367" s="107">
        <v>2.00004237E8</v>
      </c>
      <c r="D367" s="91" t="str">
        <f>IFERROR(VLOOKUP(C367,produto,2,FALSE), "Produto não encontrado")</f>
        <v>INJETADO FECHO REGULADOR  25MM</v>
      </c>
      <c r="E367" s="92" t="s">
        <v>528</v>
      </c>
      <c r="F367" s="93">
        <v>1.0</v>
      </c>
      <c r="G367" s="106" t="s">
        <v>571</v>
      </c>
      <c r="H367" s="97"/>
      <c r="I367" s="86"/>
    </row>
    <row r="368" ht="22.5" customHeight="1">
      <c r="A368" s="90">
        <v>45908.0</v>
      </c>
      <c r="B368" s="81" t="str">
        <f t="shared" si="1"/>
        <v>2025-09</v>
      </c>
      <c r="C368" s="107">
        <v>2.00000038E8</v>
      </c>
      <c r="D368" s="91" t="str">
        <f>IFERROR(VLOOKUP(C368,produto,2,FALSE), "Produto não encontrado")</f>
        <v>PASSANTE FERRO NIQUEL(NIVELADOR) 25MM</v>
      </c>
      <c r="E368" s="92" t="s">
        <v>528</v>
      </c>
      <c r="F368" s="93">
        <v>2.0</v>
      </c>
      <c r="G368" s="101" t="s">
        <v>581</v>
      </c>
      <c r="H368" s="97"/>
      <c r="I368" s="86"/>
    </row>
    <row r="369" ht="22.5" customHeight="1">
      <c r="A369" s="90">
        <v>45905.0</v>
      </c>
      <c r="B369" s="81" t="str">
        <f t="shared" si="1"/>
        <v>2025-09</v>
      </c>
      <c r="C369" s="107">
        <v>2.00000039E8</v>
      </c>
      <c r="D369" s="91" t="str">
        <f>IFERROR(VLOOKUP(C369,produto,2,FALSE), "Produto não encontrado")</f>
        <v>PASSADOR OVAL FERRO (NIVELADOR)  50MM</v>
      </c>
      <c r="E369" s="92" t="s">
        <v>528</v>
      </c>
      <c r="F369" s="93">
        <v>1.0</v>
      </c>
      <c r="G369" s="101" t="s">
        <v>581</v>
      </c>
      <c r="H369" s="97"/>
      <c r="I369" s="86"/>
    </row>
    <row r="370" ht="22.5" customHeight="1">
      <c r="A370" s="90">
        <v>45905.0</v>
      </c>
      <c r="B370" s="81" t="str">
        <f t="shared" si="1"/>
        <v>2025-09</v>
      </c>
      <c r="C370" s="107">
        <v>2.00000038E8</v>
      </c>
      <c r="D370" s="91" t="str">
        <f>IFERROR(VLOOKUP(C370,produto,2,FALSE), "Produto não encontrado")</f>
        <v>PASSANTE FERRO NIQUEL(NIVELADOR) 25MM</v>
      </c>
      <c r="E370" s="92" t="s">
        <v>528</v>
      </c>
      <c r="F370" s="93">
        <v>1.0</v>
      </c>
      <c r="G370" s="101" t="s">
        <v>581</v>
      </c>
      <c r="H370" s="97"/>
      <c r="I370" s="86"/>
    </row>
    <row r="371" ht="22.5" customHeight="1">
      <c r="A371" s="90">
        <v>45904.0</v>
      </c>
      <c r="B371" s="81" t="str">
        <f t="shared" si="1"/>
        <v>2025-09</v>
      </c>
      <c r="C371" s="107">
        <v>2.00004237E8</v>
      </c>
      <c r="D371" s="91" t="str">
        <f>IFERROR(VLOOKUP(C371,produto,2,FALSE), "Produto não encontrado")</f>
        <v>INJETADO FECHO REGULADOR  25MM</v>
      </c>
      <c r="E371" s="92" t="s">
        <v>528</v>
      </c>
      <c r="F371" s="93">
        <v>4.0</v>
      </c>
      <c r="G371" s="106" t="s">
        <v>575</v>
      </c>
      <c r="H371" s="97"/>
      <c r="I371" s="86"/>
    </row>
    <row r="372" ht="22.5" customHeight="1">
      <c r="A372" s="90">
        <v>45904.0</v>
      </c>
      <c r="B372" s="81" t="str">
        <f t="shared" si="1"/>
        <v>2025-09</v>
      </c>
      <c r="C372" s="107">
        <v>2.00036189E8</v>
      </c>
      <c r="D372" s="91" t="str">
        <f>IFERROR(VLOOKUP(C372,produto,2,FALSE), "Produto não encontrado")</f>
        <v>COPO DESCARTAVEL 180ML</v>
      </c>
      <c r="E372" s="92" t="s">
        <v>528</v>
      </c>
      <c r="F372" s="93">
        <v>1.0</v>
      </c>
      <c r="G372" s="101" t="s">
        <v>586</v>
      </c>
      <c r="H372" s="97"/>
      <c r="I372" s="86"/>
      <c r="J372" s="88"/>
      <c r="K372" s="88"/>
    </row>
    <row r="373" ht="22.5" customHeight="1">
      <c r="A373" s="90">
        <v>45904.0</v>
      </c>
      <c r="B373" s="81" t="str">
        <f t="shared" si="1"/>
        <v>2025-09</v>
      </c>
      <c r="C373" s="107">
        <v>2.00038156E8</v>
      </c>
      <c r="D373" s="91" t="str">
        <f>IFERROR(VLOOKUP(C373,produto,2,FALSE), "Produto não encontrado")</f>
        <v>EXTRATOR DE GRAMPO ESPATULA EM AÇO DE 15cm</v>
      </c>
      <c r="E373" s="92" t="s">
        <v>528</v>
      </c>
      <c r="F373" s="93">
        <v>2.0</v>
      </c>
      <c r="G373" s="101" t="s">
        <v>586</v>
      </c>
      <c r="H373" s="97"/>
      <c r="I373" s="86"/>
      <c r="J373" s="88"/>
      <c r="K373" s="88"/>
    </row>
    <row r="374" ht="22.5" customHeight="1">
      <c r="A374" s="90">
        <v>45904.0</v>
      </c>
      <c r="B374" s="81" t="str">
        <f t="shared" si="1"/>
        <v>2025-09</v>
      </c>
      <c r="C374" s="107">
        <v>2.00037413E8</v>
      </c>
      <c r="D374" s="91" t="str">
        <f>IFERROR(VLOOKUP(C374,produto,2,FALSE), "Produto não encontrado")</f>
        <v>CLIPS NIQUELADO Nº 3 COM 50 UN</v>
      </c>
      <c r="E374" s="92" t="s">
        <v>528</v>
      </c>
      <c r="F374" s="93">
        <v>1.0</v>
      </c>
      <c r="G374" s="101" t="s">
        <v>594</v>
      </c>
      <c r="H374" s="97"/>
      <c r="I374" s="86"/>
      <c r="J374" s="88"/>
      <c r="K374" s="88"/>
    </row>
    <row r="375" ht="22.5" customHeight="1">
      <c r="A375" s="90">
        <v>45904.0</v>
      </c>
      <c r="B375" s="81" t="str">
        <f t="shared" si="1"/>
        <v>2025-09</v>
      </c>
      <c r="C375" s="107">
        <v>2.0003649E8</v>
      </c>
      <c r="D375" s="119" t="str">
        <f>IFERROR(VLOOKUP(C375,produto,2,FALSE), "Produto não encontrado")</f>
        <v>CLIPS NIQUELADO Nº 2 COM 100 UN</v>
      </c>
      <c r="E375" s="92" t="s">
        <v>528</v>
      </c>
      <c r="F375" s="93">
        <v>1.0</v>
      </c>
      <c r="G375" s="101" t="s">
        <v>594</v>
      </c>
      <c r="H375" s="97"/>
      <c r="I375" s="86"/>
      <c r="J375" s="88"/>
      <c r="K375" s="88"/>
    </row>
    <row r="376" ht="22.5" customHeight="1">
      <c r="A376" s="90">
        <v>45904.0</v>
      </c>
      <c r="B376" s="81" t="str">
        <f t="shared" si="1"/>
        <v>2025-09</v>
      </c>
      <c r="C376" s="108" t="s">
        <v>211</v>
      </c>
      <c r="D376" s="91" t="str">
        <f>IFERROR(VLOOKUP(C376,produto,2,FALSE), "Produto não encontrado")</f>
        <v>PLACA TERMOPLASTICA - ORFIT ECO NATUREL 45 x 60cm x 3.2mm MINI Perforated</v>
      </c>
      <c r="E376" s="92" t="s">
        <v>528</v>
      </c>
      <c r="F376" s="93">
        <v>1.0</v>
      </c>
      <c r="G376" s="101" t="s">
        <v>579</v>
      </c>
      <c r="H376" s="97"/>
      <c r="I376" s="86"/>
      <c r="J376" s="88"/>
      <c r="K376" s="88"/>
    </row>
    <row r="377" ht="22.5" customHeight="1">
      <c r="A377" s="90">
        <v>45904.0</v>
      </c>
      <c r="B377" s="81" t="str">
        <f t="shared" si="1"/>
        <v>2025-09</v>
      </c>
      <c r="C377" s="120">
        <v>2.00043839E8</v>
      </c>
      <c r="D377" s="91" t="str">
        <f>IFERROR(VLOOKUP(C377,produto,2,FALSE), "Produto não encontrado")</f>
        <v>PASTA POLIONDA COM ABA E ELASTICO 34X25X55MM</v>
      </c>
      <c r="E377" s="92" t="s">
        <v>528</v>
      </c>
      <c r="F377" s="93">
        <v>1.0</v>
      </c>
      <c r="G377" s="101" t="s">
        <v>579</v>
      </c>
      <c r="H377" s="97"/>
      <c r="I377" s="86"/>
      <c r="J377" s="88"/>
      <c r="K377" s="88"/>
    </row>
    <row r="378" ht="22.5" customHeight="1">
      <c r="A378" s="90">
        <v>45904.0</v>
      </c>
      <c r="B378" s="81" t="str">
        <f t="shared" si="1"/>
        <v>2025-09</v>
      </c>
      <c r="C378" s="121">
        <v>2.00001044E8</v>
      </c>
      <c r="D378" s="91" t="str">
        <f>IFERROR(VLOOKUP(C378,produto,2,FALSE), "Produto não encontrado")</f>
        <v>Produto não encontrado</v>
      </c>
      <c r="E378" s="92" t="s">
        <v>528</v>
      </c>
      <c r="F378" s="93">
        <v>1.0</v>
      </c>
      <c r="G378" s="106" t="s">
        <v>571</v>
      </c>
      <c r="H378" s="97"/>
      <c r="I378" s="86"/>
      <c r="J378" s="88"/>
      <c r="K378" s="88"/>
    </row>
    <row r="379" ht="22.5" customHeight="1">
      <c r="A379" s="90">
        <v>45904.0</v>
      </c>
      <c r="B379" s="81" t="str">
        <f t="shared" si="1"/>
        <v>2025-09</v>
      </c>
      <c r="C379" s="122">
        <v>2.00047667E8</v>
      </c>
      <c r="D379" s="91" t="str">
        <f>IFERROR(VLOOKUP(C379,produto,2,FALSE), "Produto não encontrado")</f>
        <v>Produto não encontrado</v>
      </c>
      <c r="E379" s="92" t="s">
        <v>528</v>
      </c>
      <c r="F379" s="93">
        <v>4.0</v>
      </c>
      <c r="G379" s="106" t="s">
        <v>571</v>
      </c>
      <c r="H379" s="97"/>
      <c r="I379" s="86"/>
      <c r="J379" s="88"/>
      <c r="K379" s="88"/>
    </row>
    <row r="380" ht="22.5" customHeight="1">
      <c r="A380" s="90">
        <v>45904.0</v>
      </c>
      <c r="B380" s="81" t="str">
        <f t="shared" si="1"/>
        <v>2025-09</v>
      </c>
      <c r="C380" s="107">
        <v>2.00066972E8</v>
      </c>
      <c r="D380" s="91" t="str">
        <f>IFERROR(VLOOKUP(C380,produto,2,FALSE), "Produto não encontrado")</f>
        <v>PASTA SANFONADA</v>
      </c>
      <c r="E380" s="92" t="s">
        <v>528</v>
      </c>
      <c r="F380" s="93">
        <v>1.0</v>
      </c>
      <c r="G380" s="101" t="s">
        <v>591</v>
      </c>
      <c r="H380" s="97"/>
      <c r="I380" s="86"/>
      <c r="J380" s="88"/>
      <c r="K380" s="88"/>
    </row>
    <row r="381" ht="22.5" customHeight="1">
      <c r="A381" s="90">
        <v>45904.0</v>
      </c>
      <c r="B381" s="81" t="str">
        <f t="shared" si="1"/>
        <v>2025-09</v>
      </c>
      <c r="C381" s="107">
        <v>2.00038156E8</v>
      </c>
      <c r="D381" s="91" t="str">
        <f>IFERROR(VLOOKUP(C381,produto,2,FALSE), "Produto não encontrado")</f>
        <v>EXTRATOR DE GRAMPO ESPATULA EM AÇO DE 15cm</v>
      </c>
      <c r="E381" s="92" t="s">
        <v>526</v>
      </c>
      <c r="F381" s="93">
        <v>5.0</v>
      </c>
      <c r="G381" s="101" t="s">
        <v>11</v>
      </c>
      <c r="H381" s="97"/>
      <c r="I381" s="86"/>
      <c r="J381" s="88"/>
      <c r="K381" s="88"/>
    </row>
    <row r="382" ht="22.5" customHeight="1">
      <c r="A382" s="90">
        <v>45904.0</v>
      </c>
      <c r="B382" s="81" t="str">
        <f t="shared" si="1"/>
        <v>2025-09</v>
      </c>
      <c r="C382" s="107">
        <v>2.00037413E8</v>
      </c>
      <c r="D382" s="91" t="str">
        <f>IFERROR(VLOOKUP(C382,produto,2,FALSE), "Produto não encontrado")</f>
        <v>CLIPS NIQUELADO Nº 3 COM 50 UN</v>
      </c>
      <c r="E382" s="92" t="s">
        <v>526</v>
      </c>
      <c r="F382" s="93">
        <v>4.0</v>
      </c>
      <c r="G382" s="101" t="s">
        <v>11</v>
      </c>
      <c r="H382" s="97"/>
      <c r="I382" s="86"/>
      <c r="J382" s="88"/>
      <c r="K382" s="88"/>
    </row>
    <row r="383" ht="22.5" customHeight="1">
      <c r="A383" s="90">
        <v>45904.0</v>
      </c>
      <c r="B383" s="81" t="str">
        <f t="shared" si="1"/>
        <v>2025-09</v>
      </c>
      <c r="C383" s="107">
        <v>2.00031692E8</v>
      </c>
      <c r="D383" s="91" t="str">
        <f>IFERROR(VLOOKUP(C383,produto,2,FALSE), "Produto não encontrado")</f>
        <v> CANETA PARA RETROPROJETOR FINA</v>
      </c>
      <c r="E383" s="92" t="s">
        <v>526</v>
      </c>
      <c r="F383" s="93">
        <v>3.0</v>
      </c>
      <c r="G383" s="101" t="s">
        <v>11</v>
      </c>
      <c r="H383" s="97"/>
      <c r="I383" s="86"/>
      <c r="J383" s="88"/>
      <c r="K383" s="88"/>
    </row>
    <row r="384" ht="22.5" customHeight="1">
      <c r="A384" s="90">
        <v>45904.0</v>
      </c>
      <c r="B384" s="81" t="str">
        <f t="shared" si="1"/>
        <v>2025-09</v>
      </c>
      <c r="C384" s="107">
        <v>2.00066972E8</v>
      </c>
      <c r="D384" s="91" t="str">
        <f>IFERROR(VLOOKUP(C384,produto,2,FALSE), "Produto não encontrado")</f>
        <v>PASTA SANFONADA</v>
      </c>
      <c r="E384" s="92" t="s">
        <v>526</v>
      </c>
      <c r="F384" s="93">
        <v>2.0</v>
      </c>
      <c r="G384" s="101" t="s">
        <v>11</v>
      </c>
      <c r="H384" s="97"/>
      <c r="I384" s="86"/>
      <c r="J384" s="88"/>
      <c r="K384" s="88"/>
    </row>
    <row r="385" ht="22.5" customHeight="1">
      <c r="A385" s="90">
        <v>45904.0</v>
      </c>
      <c r="B385" s="81" t="str">
        <f t="shared" si="1"/>
        <v>2025-09</v>
      </c>
      <c r="C385" s="107">
        <v>2.00043839E8</v>
      </c>
      <c r="D385" s="91" t="str">
        <f>IFERROR(VLOOKUP(C385,produto,2,FALSE), "Produto não encontrado")</f>
        <v>PASTA POLIONDA COM ABA E ELASTICO 34X25X55MM</v>
      </c>
      <c r="E385" s="92" t="s">
        <v>526</v>
      </c>
      <c r="F385" s="93">
        <v>13.0</v>
      </c>
      <c r="G385" s="101" t="s">
        <v>11</v>
      </c>
      <c r="H385" s="97"/>
      <c r="I385" s="86"/>
      <c r="J385" s="88"/>
      <c r="K385" s="88"/>
    </row>
    <row r="386" ht="22.5" customHeight="1">
      <c r="A386" s="90">
        <v>45904.0</v>
      </c>
      <c r="B386" s="81" t="str">
        <f t="shared" si="1"/>
        <v>2025-09</v>
      </c>
      <c r="C386" s="107">
        <v>2.00036489E8</v>
      </c>
      <c r="D386" s="91" t="str">
        <f>IFERROR(VLOOKUP(C386,produto,2,FALSE), "Produto não encontrado")</f>
        <v>CLIPS NIQUELADO Nº 1 COM 100 UN</v>
      </c>
      <c r="E386" s="92" t="s">
        <v>526</v>
      </c>
      <c r="F386" s="93">
        <v>2.0</v>
      </c>
      <c r="G386" s="101" t="s">
        <v>11</v>
      </c>
      <c r="H386" s="97"/>
      <c r="I386" s="86"/>
      <c r="J386" s="88"/>
      <c r="K386" s="88"/>
    </row>
    <row r="387" ht="22.5" customHeight="1">
      <c r="A387" s="90">
        <v>45904.0</v>
      </c>
      <c r="B387" s="81" t="str">
        <f t="shared" si="1"/>
        <v>2025-09</v>
      </c>
      <c r="C387" s="107">
        <v>2.00036189E8</v>
      </c>
      <c r="D387" s="91" t="str">
        <f>IFERROR(VLOOKUP(C387,produto,2,FALSE), "Produto não encontrado")</f>
        <v>COPO DESCARTAVEL 180ML</v>
      </c>
      <c r="E387" s="92" t="s">
        <v>526</v>
      </c>
      <c r="F387" s="93">
        <v>4.0</v>
      </c>
      <c r="G387" s="101" t="s">
        <v>11</v>
      </c>
      <c r="H387" s="97"/>
      <c r="I387" s="86"/>
      <c r="J387" s="88"/>
      <c r="K387" s="88"/>
    </row>
    <row r="388" ht="22.5" customHeight="1">
      <c r="A388" s="90">
        <v>45904.0</v>
      </c>
      <c r="B388" s="81" t="str">
        <f t="shared" si="1"/>
        <v>2025-09</v>
      </c>
      <c r="C388" s="107">
        <v>2.00033068E8</v>
      </c>
      <c r="D388" s="91" t="str">
        <f>IFERROR(VLOOKUP(C388,produto,2,FALSE), "Produto não encontrado")</f>
        <v> PAPEL SULFITE A4 210 X 297MM 75G BRANCO MULTIUSO PACOTE COM 500 FLS</v>
      </c>
      <c r="E388" s="92" t="s">
        <v>526</v>
      </c>
      <c r="F388" s="93">
        <v>4.0</v>
      </c>
      <c r="G388" s="101" t="s">
        <v>11</v>
      </c>
      <c r="H388" s="97"/>
      <c r="I388" s="86"/>
      <c r="J388" s="88"/>
      <c r="K388" s="88"/>
    </row>
    <row r="389" ht="22.5" customHeight="1">
      <c r="A389" s="90">
        <v>45904.0</v>
      </c>
      <c r="B389" s="81" t="str">
        <f t="shared" si="1"/>
        <v>2025-09</v>
      </c>
      <c r="C389" s="107">
        <v>2.00001044E8</v>
      </c>
      <c r="D389" s="91" t="str">
        <f>IFERROR(VLOOKUP(C389,produto,2,FALSE), "Produto não encontrado")</f>
        <v>Produto não encontrado</v>
      </c>
      <c r="E389" s="92" t="s">
        <v>526</v>
      </c>
      <c r="F389" s="93">
        <v>1.0</v>
      </c>
      <c r="G389" s="101" t="s">
        <v>11</v>
      </c>
      <c r="H389" s="97"/>
      <c r="I389" s="86"/>
      <c r="J389" s="88"/>
      <c r="K389" s="88"/>
    </row>
    <row r="390" ht="22.5" customHeight="1">
      <c r="A390" s="90">
        <v>45904.0</v>
      </c>
      <c r="B390" s="81" t="str">
        <f t="shared" si="1"/>
        <v>2025-09</v>
      </c>
      <c r="C390" s="107">
        <v>2.00047667E8</v>
      </c>
      <c r="D390" s="91" t="str">
        <f>IFERROR(VLOOKUP(C390,produto,2,FALSE), "Produto não encontrado")</f>
        <v>Produto não encontrado</v>
      </c>
      <c r="E390" s="92" t="s">
        <v>526</v>
      </c>
      <c r="F390" s="93">
        <v>4.0</v>
      </c>
      <c r="G390" s="101" t="s">
        <v>11</v>
      </c>
      <c r="H390" s="97"/>
      <c r="I390" s="86"/>
      <c r="J390" s="88"/>
      <c r="K390" s="88"/>
    </row>
    <row r="391" ht="22.5" customHeight="1">
      <c r="A391" s="90">
        <v>45901.0</v>
      </c>
      <c r="B391" s="81" t="str">
        <f t="shared" si="1"/>
        <v>2025-09</v>
      </c>
      <c r="C391" s="107">
        <v>2.00135429E8</v>
      </c>
      <c r="D391" s="91" t="str">
        <f>IFERROR(VLOOKUP(C391,produto,2,FALSE), "Produto não encontrado")</f>
        <v>NYLON 900 PVC PRETO LARG 1.50 (RL)</v>
      </c>
      <c r="E391" s="92" t="s">
        <v>528</v>
      </c>
      <c r="F391" s="93">
        <v>1.0</v>
      </c>
      <c r="G391" s="101" t="s">
        <v>581</v>
      </c>
      <c r="H391" s="97"/>
      <c r="I391" s="86"/>
      <c r="J391" s="88"/>
      <c r="K391" s="88"/>
    </row>
    <row r="392" ht="22.5" customHeight="1">
      <c r="A392" s="90">
        <v>45901.0</v>
      </c>
      <c r="B392" s="81" t="str">
        <f t="shared" si="1"/>
        <v>2025-09</v>
      </c>
      <c r="C392" s="107">
        <v>2.00036752E8</v>
      </c>
      <c r="D392" s="91" t="str">
        <f>IFERROR(VLOOKUP(C392,produto,2,FALSE), "Produto não encontrado")</f>
        <v>ALCOOL 1LT</v>
      </c>
      <c r="E392" s="92" t="s">
        <v>528</v>
      </c>
      <c r="F392" s="93">
        <v>1.0</v>
      </c>
      <c r="G392" s="101" t="s">
        <v>581</v>
      </c>
      <c r="H392" s="97"/>
      <c r="I392" s="86"/>
      <c r="J392" s="88"/>
      <c r="K392" s="88"/>
    </row>
    <row r="393" ht="22.5" customHeight="1">
      <c r="A393" s="90">
        <v>45898.0</v>
      </c>
      <c r="B393" s="81" t="str">
        <f t="shared" si="1"/>
        <v>2025-08</v>
      </c>
      <c r="C393" s="107">
        <v>2.00033068E8</v>
      </c>
      <c r="D393" s="91" t="str">
        <f>IFERROR(VLOOKUP(C393,produto,2,FALSE), "Produto não encontrado")</f>
        <v> PAPEL SULFITE A4 210 X 297MM 75G BRANCO MULTIUSO PACOTE COM 500 FLS</v>
      </c>
      <c r="E393" s="92" t="s">
        <v>528</v>
      </c>
      <c r="F393" s="93">
        <v>1.0</v>
      </c>
      <c r="G393" s="101" t="s">
        <v>586</v>
      </c>
      <c r="H393" s="97"/>
      <c r="I393" s="86"/>
      <c r="J393" s="88"/>
      <c r="K393" s="88"/>
    </row>
    <row r="394" ht="22.5" customHeight="1">
      <c r="A394" s="90">
        <v>45897.0</v>
      </c>
      <c r="B394" s="81" t="str">
        <f t="shared" si="1"/>
        <v>2025-08</v>
      </c>
      <c r="C394" s="107">
        <v>2.00083821E8</v>
      </c>
      <c r="D394" s="91" t="str">
        <f>IFERROR(VLOOKUP(C394,produto,2,FALSE), "Produto não encontrado")</f>
        <v>ESPUMA LAMINADA D-33 SELADA 1900X5000X01CM</v>
      </c>
      <c r="E394" s="92" t="s">
        <v>528</v>
      </c>
      <c r="F394" s="93">
        <v>0.7</v>
      </c>
      <c r="G394" s="106" t="s">
        <v>568</v>
      </c>
      <c r="H394" s="85" t="s">
        <v>595</v>
      </c>
      <c r="I394" s="86"/>
      <c r="J394" s="88"/>
      <c r="K394" s="88"/>
    </row>
    <row r="395" ht="22.5" customHeight="1">
      <c r="A395" s="90">
        <v>45897.0</v>
      </c>
      <c r="B395" s="81" t="str">
        <f t="shared" si="1"/>
        <v>2025-08</v>
      </c>
      <c r="C395" s="107">
        <v>2.00036189E8</v>
      </c>
      <c r="D395" s="91" t="str">
        <f>IFERROR(VLOOKUP(C395,produto,2,FALSE), "Produto não encontrado")</f>
        <v>COPO DESCARTAVEL 180ML</v>
      </c>
      <c r="E395" s="92" t="s">
        <v>528</v>
      </c>
      <c r="F395" s="93">
        <v>1.0</v>
      </c>
      <c r="G395" s="101" t="s">
        <v>594</v>
      </c>
      <c r="H395" s="97"/>
      <c r="I395" s="86"/>
      <c r="J395" s="88"/>
      <c r="K395" s="88"/>
    </row>
    <row r="396" ht="22.5" customHeight="1">
      <c r="A396" s="90">
        <v>45897.0</v>
      </c>
      <c r="B396" s="81" t="str">
        <f t="shared" si="1"/>
        <v>2025-08</v>
      </c>
      <c r="C396" s="107">
        <v>2.00000046E8</v>
      </c>
      <c r="D396" s="91" t="str">
        <f>IFERROR(VLOOKUP(C396,produto,2,FALSE), "Produto não encontrado")</f>
        <v>Malha Tubular de Algodão 15cmx15m</v>
      </c>
      <c r="E396" s="92" t="s">
        <v>528</v>
      </c>
      <c r="F396" s="93">
        <v>1.0</v>
      </c>
      <c r="G396" s="101" t="s">
        <v>581</v>
      </c>
      <c r="H396" s="97"/>
      <c r="I396" s="86"/>
      <c r="J396" s="88"/>
      <c r="K396" s="88"/>
    </row>
    <row r="397" ht="22.5" customHeight="1">
      <c r="A397" s="90">
        <v>45895.0</v>
      </c>
      <c r="B397" s="81" t="str">
        <f t="shared" si="1"/>
        <v>2025-08</v>
      </c>
      <c r="C397" s="123">
        <v>2.00000051E8</v>
      </c>
      <c r="D397" s="91" t="str">
        <f>IFERROR(VLOOKUP(C397,produto,2,FALSE), "Produto não encontrado")</f>
        <v>ORFICAST ORANGE 300cm x 6cm  FITA TERMOPLASTICA</v>
      </c>
      <c r="E397" s="92" t="s">
        <v>528</v>
      </c>
      <c r="F397" s="93">
        <v>2.0</v>
      </c>
      <c r="G397" s="101" t="s">
        <v>579</v>
      </c>
      <c r="H397" s="97"/>
      <c r="I397" s="86"/>
      <c r="J397" s="88"/>
      <c r="K397" s="88"/>
    </row>
    <row r="398" ht="22.5" customHeight="1">
      <c r="A398" s="90">
        <v>45895.0</v>
      </c>
      <c r="B398" s="81" t="str">
        <f t="shared" si="1"/>
        <v>2025-08</v>
      </c>
      <c r="C398" s="123">
        <v>2.00000048E8</v>
      </c>
      <c r="D398" s="91" t="str">
        <f>IFERROR(VLOOKUP(C398,produto,2,FALSE), "Produto não encontrado")</f>
        <v>ORFICAST BLACK 300cm x 3cm FITA TERMOPLASTICA</v>
      </c>
      <c r="E398" s="92" t="s">
        <v>528</v>
      </c>
      <c r="F398" s="93">
        <v>1.0</v>
      </c>
      <c r="G398" s="101" t="s">
        <v>579</v>
      </c>
      <c r="H398" s="97"/>
      <c r="I398" s="86"/>
      <c r="J398" s="88"/>
      <c r="K398" s="88"/>
    </row>
    <row r="399" ht="22.5" customHeight="1">
      <c r="A399" s="90">
        <v>45895.0</v>
      </c>
      <c r="B399" s="81" t="str">
        <f t="shared" si="1"/>
        <v>2025-08</v>
      </c>
      <c r="C399" s="107">
        <v>2.00000051E8</v>
      </c>
      <c r="D399" s="91" t="str">
        <f>IFERROR(VLOOKUP(C399,produto,2,FALSE), "Produto não encontrado")</f>
        <v>ORFICAST ORANGE 300cm x 6cm  FITA TERMOPLASTICA</v>
      </c>
      <c r="E399" s="92" t="s">
        <v>526</v>
      </c>
      <c r="F399" s="93">
        <v>2.0</v>
      </c>
      <c r="G399" s="18" t="s">
        <v>197</v>
      </c>
      <c r="H399" s="7"/>
      <c r="I399" s="86"/>
      <c r="J399" s="88"/>
      <c r="K399" s="88"/>
    </row>
    <row r="400" ht="22.5" customHeight="1">
      <c r="A400" s="90">
        <v>45895.0</v>
      </c>
      <c r="B400" s="81" t="str">
        <f t="shared" si="1"/>
        <v>2025-08</v>
      </c>
      <c r="C400" s="107">
        <v>2.00000048E8</v>
      </c>
      <c r="D400" s="91" t="str">
        <f>IFERROR(VLOOKUP(C400,produto,2,FALSE), "Produto não encontrado")</f>
        <v>ORFICAST BLACK 300cm x 3cm FITA TERMOPLASTICA</v>
      </c>
      <c r="E400" s="92" t="s">
        <v>526</v>
      </c>
      <c r="F400" s="93">
        <v>1.0</v>
      </c>
      <c r="G400" s="18" t="s">
        <v>197</v>
      </c>
      <c r="H400" s="7"/>
      <c r="I400" s="86"/>
      <c r="J400" s="88"/>
      <c r="K400" s="88"/>
    </row>
    <row r="401" ht="22.5" customHeight="1">
      <c r="A401" s="90">
        <v>45895.0</v>
      </c>
      <c r="B401" s="81" t="str">
        <f t="shared" si="1"/>
        <v>2025-08</v>
      </c>
      <c r="C401" s="108" t="s">
        <v>211</v>
      </c>
      <c r="D401" s="91" t="str">
        <f>IFERROR(VLOOKUP(C401,produto,2,FALSE), "Produto não encontrado")</f>
        <v>PLACA TERMOPLASTICA - ORFIT ECO NATUREL 45 x 60cm x 3.2mm MINI Perforated</v>
      </c>
      <c r="E401" s="92" t="s">
        <v>526</v>
      </c>
      <c r="F401" s="93">
        <v>6.0</v>
      </c>
      <c r="G401" s="18" t="s">
        <v>197</v>
      </c>
      <c r="H401" s="7"/>
      <c r="I401" s="86"/>
      <c r="J401" s="88"/>
      <c r="K401" s="88"/>
    </row>
    <row r="402" ht="22.5" customHeight="1">
      <c r="A402" s="90">
        <v>45895.0</v>
      </c>
      <c r="B402" s="81" t="str">
        <f t="shared" si="1"/>
        <v>2025-08</v>
      </c>
      <c r="C402" s="108" t="s">
        <v>206</v>
      </c>
      <c r="D402" s="91" t="str">
        <f>IFERROR(VLOOKUP(C402,produto,2,FALSE), "Produto não encontrado")</f>
        <v>PLACA TERMOPLASTICA - ORFIT ECO BLACK NS 45 x 60cm x 3.2mm MINI Perforated</v>
      </c>
      <c r="E402" s="92" t="s">
        <v>526</v>
      </c>
      <c r="F402" s="93">
        <v>7.0</v>
      </c>
      <c r="G402" s="18" t="s">
        <v>197</v>
      </c>
      <c r="H402" s="7"/>
      <c r="I402" s="86"/>
      <c r="J402" s="88"/>
      <c r="K402" s="88"/>
    </row>
    <row r="403" ht="22.5" customHeight="1">
      <c r="A403" s="90">
        <v>45895.0</v>
      </c>
      <c r="B403" s="81" t="str">
        <f t="shared" si="1"/>
        <v>2025-08</v>
      </c>
      <c r="C403" s="107">
        <v>2.00083825E8</v>
      </c>
      <c r="D403" s="91" t="str">
        <f>IFERROR(VLOOKUP(C403,produto,2,FALSE), "Produto não encontrado")</f>
        <v>ESPUMA LAMINADA D-33 SELADA 5000X1900X5.00CM</v>
      </c>
      <c r="E403" s="92" t="s">
        <v>528</v>
      </c>
      <c r="F403" s="93">
        <v>3.5</v>
      </c>
      <c r="G403" s="106" t="s">
        <v>568</v>
      </c>
      <c r="H403" s="97"/>
      <c r="I403" s="86"/>
      <c r="J403" s="88"/>
      <c r="K403" s="88"/>
    </row>
    <row r="404" ht="22.5" customHeight="1">
      <c r="A404" s="90">
        <v>45895.0</v>
      </c>
      <c r="B404" s="81" t="str">
        <f t="shared" si="1"/>
        <v>2025-08</v>
      </c>
      <c r="C404" s="107">
        <v>2.00033068E8</v>
      </c>
      <c r="D404" s="91" t="str">
        <f>IFERROR(VLOOKUP(C404,produto,2,FALSE), "Produto não encontrado")</f>
        <v> PAPEL SULFITE A4 210 X 297MM 75G BRANCO MULTIUSO PACOTE COM 500 FLS</v>
      </c>
      <c r="E404" s="92" t="s">
        <v>528</v>
      </c>
      <c r="F404" s="93">
        <v>1.0</v>
      </c>
      <c r="G404" s="101" t="s">
        <v>594</v>
      </c>
      <c r="H404" s="97"/>
      <c r="I404" s="86"/>
      <c r="J404" s="88"/>
      <c r="K404" s="88"/>
    </row>
    <row r="405" ht="22.5" customHeight="1">
      <c r="A405" s="90">
        <v>45894.0</v>
      </c>
      <c r="B405" s="81" t="str">
        <f t="shared" si="1"/>
        <v>2025-08</v>
      </c>
      <c r="C405" s="107">
        <v>2.00000039E8</v>
      </c>
      <c r="D405" s="91" t="str">
        <f>IFERROR(VLOOKUP(C405,produto,2,FALSE), "Produto não encontrado")</f>
        <v>PASSADOR OVAL FERRO (NIVELADOR)  50MM</v>
      </c>
      <c r="E405" s="92" t="s">
        <v>528</v>
      </c>
      <c r="F405" s="93">
        <v>2.0</v>
      </c>
      <c r="G405" s="106" t="s">
        <v>575</v>
      </c>
      <c r="H405" s="97"/>
      <c r="I405" s="86"/>
      <c r="J405" s="88"/>
      <c r="K405" s="88"/>
    </row>
    <row r="406" ht="22.5" customHeight="1">
      <c r="A406" s="90">
        <v>45894.0</v>
      </c>
      <c r="B406" s="81" t="str">
        <f t="shared" si="1"/>
        <v>2025-08</v>
      </c>
      <c r="C406" s="107">
        <v>2.00036752E8</v>
      </c>
      <c r="D406" s="91" t="str">
        <f>IFERROR(VLOOKUP(C406,produto,2,FALSE), "Produto não encontrado")</f>
        <v>ALCOOL 1LT</v>
      </c>
      <c r="E406" s="92" t="s">
        <v>528</v>
      </c>
      <c r="F406" s="93">
        <v>1.0</v>
      </c>
      <c r="G406" s="106" t="s">
        <v>575</v>
      </c>
      <c r="H406" s="97"/>
      <c r="I406" s="86"/>
      <c r="J406" s="88"/>
      <c r="K406" s="88"/>
    </row>
    <row r="407" ht="22.5" customHeight="1">
      <c r="A407" s="90">
        <v>45891.0</v>
      </c>
      <c r="B407" s="81" t="str">
        <f t="shared" si="1"/>
        <v>2025-08</v>
      </c>
      <c r="C407" s="107">
        <v>2.00037491E8</v>
      </c>
      <c r="D407" s="119" t="str">
        <f>IFERROR(VLOOKUP(C407,produto,2,FALSE), "Produto não encontrado")</f>
        <v>MASCARA CIRURGICA TRIPLA</v>
      </c>
      <c r="E407" s="92" t="s">
        <v>528</v>
      </c>
      <c r="F407" s="93">
        <v>1.0</v>
      </c>
      <c r="G407" s="106" t="s">
        <v>571</v>
      </c>
      <c r="H407" s="97"/>
      <c r="I407" s="86"/>
      <c r="J407" s="88"/>
      <c r="K407" s="88"/>
    </row>
    <row r="408" ht="22.5" customHeight="1">
      <c r="A408" s="90">
        <v>45890.0</v>
      </c>
      <c r="B408" s="81" t="str">
        <f t="shared" si="1"/>
        <v>2025-08</v>
      </c>
      <c r="C408" s="107">
        <v>2.00036489E8</v>
      </c>
      <c r="D408" s="91" t="str">
        <f>IFERROR(VLOOKUP(C408,produto,2,FALSE), "Produto não encontrado")</f>
        <v>CLIPS NIQUELADO Nº 1 COM 100 UN</v>
      </c>
      <c r="E408" s="92" t="s">
        <v>528</v>
      </c>
      <c r="F408" s="93">
        <v>1.0</v>
      </c>
      <c r="G408" s="101" t="s">
        <v>586</v>
      </c>
      <c r="H408" s="97"/>
      <c r="I408" s="86"/>
      <c r="J408" s="88"/>
      <c r="K408" s="88"/>
    </row>
    <row r="409" ht="22.5" customHeight="1">
      <c r="A409" s="90">
        <v>45889.0</v>
      </c>
      <c r="B409" s="81" t="str">
        <f t="shared" si="1"/>
        <v>2025-08</v>
      </c>
      <c r="C409" s="105" t="s">
        <v>206</v>
      </c>
      <c r="D409" s="91" t="str">
        <f>IFERROR(VLOOKUP(C409,produto,2,FALSE), "Produto não encontrado")</f>
        <v>PLACA TERMOPLASTICA - ORFIT ECO BLACK NS 45 x 60cm x 3.2mm MINI Perforated</v>
      </c>
      <c r="E409" s="92" t="s">
        <v>528</v>
      </c>
      <c r="F409" s="93">
        <v>1.0</v>
      </c>
      <c r="G409" s="101" t="s">
        <v>579</v>
      </c>
      <c r="H409" s="97"/>
      <c r="I409" s="86"/>
      <c r="J409" s="88"/>
      <c r="K409" s="88"/>
    </row>
    <row r="410" ht="22.5" customHeight="1">
      <c r="A410" s="90">
        <v>45889.0</v>
      </c>
      <c r="B410" s="81" t="str">
        <f t="shared" si="1"/>
        <v>2025-08</v>
      </c>
      <c r="C410" s="108" t="s">
        <v>211</v>
      </c>
      <c r="D410" s="91" t="str">
        <f>IFERROR(VLOOKUP(C410,produto,2,FALSE), "Produto não encontrado")</f>
        <v>PLACA TERMOPLASTICA - ORFIT ECO NATUREL 45 x 60cm x 3.2mm MINI Perforated</v>
      </c>
      <c r="E410" s="92" t="s">
        <v>528</v>
      </c>
      <c r="F410" s="93">
        <v>1.0</v>
      </c>
      <c r="G410" s="101" t="s">
        <v>579</v>
      </c>
      <c r="H410" s="97"/>
      <c r="I410" s="86"/>
      <c r="J410" s="88"/>
      <c r="K410" s="88"/>
    </row>
    <row r="411" ht="22.5" customHeight="1">
      <c r="A411" s="90">
        <v>45889.0</v>
      </c>
      <c r="B411" s="81" t="str">
        <f t="shared" si="1"/>
        <v>2025-08</v>
      </c>
      <c r="C411" s="107">
        <v>2.0000005E8</v>
      </c>
      <c r="D411" s="91" t="str">
        <f>IFERROR(VLOOKUP(C411,produto,2,FALSE), "Produto não encontrado")</f>
        <v>ORFICAST BLUE 300cm x 3cm FITA TERMOPLASTICA</v>
      </c>
      <c r="E411" s="92" t="s">
        <v>528</v>
      </c>
      <c r="F411" s="93">
        <v>1.0</v>
      </c>
      <c r="G411" s="18" t="s">
        <v>197</v>
      </c>
      <c r="H411" s="7"/>
      <c r="I411" s="86"/>
      <c r="J411" s="88"/>
      <c r="K411" s="88"/>
    </row>
    <row r="412" ht="22.5" customHeight="1">
      <c r="A412" s="90">
        <v>45889.0</v>
      </c>
      <c r="B412" s="81" t="str">
        <f t="shared" si="1"/>
        <v>2025-08</v>
      </c>
      <c r="C412" s="107">
        <v>2.00000049E8</v>
      </c>
      <c r="D412" s="91" t="str">
        <f>IFERROR(VLOOKUP(C412,produto,2,FALSE), "Produto não encontrado")</f>
        <v>ORFICAST MORE (DUPLA CAMADA) BLACK 300cm x 15cm FITA TERMOPLASTICA</v>
      </c>
      <c r="E412" s="92" t="s">
        <v>528</v>
      </c>
      <c r="F412" s="93">
        <v>1.0</v>
      </c>
      <c r="G412" s="18" t="s">
        <v>197</v>
      </c>
      <c r="H412" s="7"/>
      <c r="I412" s="86"/>
      <c r="J412" s="88"/>
      <c r="K412" s="88"/>
    </row>
    <row r="413" ht="22.5" customHeight="1">
      <c r="A413" s="90">
        <v>45889.0</v>
      </c>
      <c r="B413" s="81" t="str">
        <f t="shared" si="1"/>
        <v>2025-08</v>
      </c>
      <c r="C413" s="107">
        <v>2.00000048E8</v>
      </c>
      <c r="D413" s="91" t="str">
        <f>IFERROR(VLOOKUP(C413,produto,2,FALSE), "Produto não encontrado")</f>
        <v>ORFICAST BLACK 300cm x 3cm FITA TERMOPLASTICA</v>
      </c>
      <c r="E413" s="92" t="s">
        <v>528</v>
      </c>
      <c r="F413" s="93">
        <v>1.0</v>
      </c>
      <c r="G413" s="18" t="s">
        <v>197</v>
      </c>
      <c r="H413" s="7"/>
      <c r="I413" s="86"/>
      <c r="J413" s="88"/>
      <c r="K413" s="88"/>
    </row>
    <row r="414" ht="22.5" customHeight="1">
      <c r="A414" s="90">
        <v>45889.0</v>
      </c>
      <c r="B414" s="81" t="str">
        <f t="shared" si="1"/>
        <v>2025-08</v>
      </c>
      <c r="C414" s="107">
        <v>2.0000005E8</v>
      </c>
      <c r="D414" s="91" t="str">
        <f>IFERROR(VLOOKUP(C414,produto,2,FALSE), "Produto não encontrado")</f>
        <v>ORFICAST BLUE 300cm x 3cm FITA TERMOPLASTICA</v>
      </c>
      <c r="E414" s="92" t="s">
        <v>526</v>
      </c>
      <c r="F414" s="93">
        <v>1.0</v>
      </c>
      <c r="G414" s="18" t="s">
        <v>197</v>
      </c>
      <c r="H414" s="7"/>
      <c r="I414" s="86"/>
      <c r="J414" s="88"/>
      <c r="K414" s="88"/>
    </row>
    <row r="415" ht="22.5" customHeight="1">
      <c r="A415" s="90">
        <v>45889.0</v>
      </c>
      <c r="B415" s="81" t="str">
        <f t="shared" si="1"/>
        <v>2025-08</v>
      </c>
      <c r="C415" s="107">
        <v>2.00000049E8</v>
      </c>
      <c r="D415" s="91" t="str">
        <f>IFERROR(VLOOKUP(C415,produto,2,FALSE), "Produto não encontrado")</f>
        <v>ORFICAST MORE (DUPLA CAMADA) BLACK 300cm x 15cm FITA TERMOPLASTICA</v>
      </c>
      <c r="E415" s="92" t="s">
        <v>526</v>
      </c>
      <c r="F415" s="93">
        <v>1.0</v>
      </c>
      <c r="G415" s="18" t="s">
        <v>197</v>
      </c>
      <c r="H415" s="7"/>
      <c r="I415" s="86"/>
      <c r="J415" s="88"/>
      <c r="K415" s="88"/>
    </row>
    <row r="416" ht="22.5" customHeight="1">
      <c r="A416" s="90">
        <v>45889.0</v>
      </c>
      <c r="B416" s="81" t="str">
        <f t="shared" si="1"/>
        <v>2025-08</v>
      </c>
      <c r="C416" s="107">
        <v>2.00000048E8</v>
      </c>
      <c r="D416" s="91" t="str">
        <f>IFERROR(VLOOKUP(C416,produto,2,FALSE), "Produto não encontrado")</f>
        <v>ORFICAST BLACK 300cm x 3cm FITA TERMOPLASTICA</v>
      </c>
      <c r="E416" s="92" t="s">
        <v>526</v>
      </c>
      <c r="F416" s="93">
        <v>1.0</v>
      </c>
      <c r="G416" s="18" t="s">
        <v>197</v>
      </c>
      <c r="H416" s="7"/>
      <c r="I416" s="86"/>
      <c r="J416" s="88"/>
      <c r="K416" s="88"/>
    </row>
    <row r="417" ht="22.5" customHeight="1">
      <c r="A417" s="90">
        <v>45889.0</v>
      </c>
      <c r="B417" s="81" t="str">
        <f t="shared" si="1"/>
        <v>2025-08</v>
      </c>
      <c r="C417" s="108" t="s">
        <v>206</v>
      </c>
      <c r="D417" s="91" t="str">
        <f>IFERROR(VLOOKUP(C417,produto,2,FALSE), "Produto não encontrado")</f>
        <v>PLACA TERMOPLASTICA - ORFIT ECO BLACK NS 45 x 60cm x 3.2mm MINI Perforated</v>
      </c>
      <c r="E417" s="92" t="s">
        <v>526</v>
      </c>
      <c r="F417" s="93">
        <v>6.0</v>
      </c>
      <c r="G417" s="18" t="s">
        <v>197</v>
      </c>
      <c r="H417" s="7"/>
      <c r="I417" s="86"/>
      <c r="J417" s="88"/>
      <c r="K417" s="88"/>
    </row>
    <row r="418" ht="22.5" customHeight="1">
      <c r="A418" s="90">
        <v>45889.0</v>
      </c>
      <c r="B418" s="81" t="str">
        <f t="shared" si="1"/>
        <v>2025-08</v>
      </c>
      <c r="C418" s="108" t="s">
        <v>211</v>
      </c>
      <c r="D418" s="91" t="str">
        <f>IFERROR(VLOOKUP(C418,produto,2,FALSE), "Produto não encontrado")</f>
        <v>PLACA TERMOPLASTICA - ORFIT ECO NATUREL 45 x 60cm x 3.2mm MINI Perforated</v>
      </c>
      <c r="E418" s="92" t="s">
        <v>526</v>
      </c>
      <c r="F418" s="93">
        <v>6.0</v>
      </c>
      <c r="G418" s="18" t="s">
        <v>197</v>
      </c>
      <c r="H418" s="7"/>
      <c r="I418" s="86"/>
      <c r="J418" s="88"/>
      <c r="K418" s="88"/>
    </row>
    <row r="419" ht="22.5" customHeight="1">
      <c r="A419" s="90">
        <v>45889.0</v>
      </c>
      <c r="B419" s="81" t="str">
        <f t="shared" si="1"/>
        <v>2025-08</v>
      </c>
      <c r="C419" s="103">
        <v>2.00036189E8</v>
      </c>
      <c r="D419" s="91" t="str">
        <f>IFERROR(VLOOKUP(C419,produto,2,FALSE), "Produto não encontrado")</f>
        <v>COPO DESCARTAVEL 180ML</v>
      </c>
      <c r="E419" s="92" t="s">
        <v>528</v>
      </c>
      <c r="F419" s="93">
        <v>1.0</v>
      </c>
      <c r="G419" s="106" t="s">
        <v>575</v>
      </c>
      <c r="H419" s="97"/>
      <c r="I419" s="86"/>
      <c r="J419" s="88"/>
      <c r="K419" s="88"/>
    </row>
    <row r="420" ht="22.5" customHeight="1">
      <c r="A420" s="90">
        <v>45889.0</v>
      </c>
      <c r="B420" s="81" t="str">
        <f t="shared" si="1"/>
        <v>2025-08</v>
      </c>
      <c r="C420" s="103">
        <v>2.00001528E8</v>
      </c>
      <c r="D420" s="91" t="str">
        <f>IFERROR(VLOOKUP(C420,produto,2,FALSE), "Produto não encontrado")</f>
        <v> LAPIS GRAFITE Nº 02</v>
      </c>
      <c r="E420" s="92" t="s">
        <v>528</v>
      </c>
      <c r="F420" s="93">
        <v>2.0</v>
      </c>
      <c r="G420" s="101" t="s">
        <v>586</v>
      </c>
      <c r="H420" s="97"/>
      <c r="I420" s="86"/>
      <c r="J420" s="88"/>
      <c r="K420" s="88"/>
    </row>
    <row r="421" ht="22.5" customHeight="1">
      <c r="A421" s="90">
        <v>45888.0</v>
      </c>
      <c r="B421" s="81" t="str">
        <f t="shared" si="1"/>
        <v>2025-08</v>
      </c>
      <c r="C421" s="103">
        <v>2.00065969E8</v>
      </c>
      <c r="D421" s="91" t="str">
        <f>IFERROR(VLOOKUP(C421,produto,2,FALSE), "Produto não encontrado")</f>
        <v>OCULOS DE PROTEÇÃO JAGUAR</v>
      </c>
      <c r="E421" s="92" t="s">
        <v>528</v>
      </c>
      <c r="F421" s="93">
        <v>2.0</v>
      </c>
      <c r="G421" s="101" t="s">
        <v>579</v>
      </c>
      <c r="H421" s="97"/>
      <c r="I421" s="86"/>
      <c r="J421" s="88"/>
      <c r="K421" s="88"/>
    </row>
    <row r="422" ht="22.5" customHeight="1">
      <c r="A422" s="90">
        <v>45888.0</v>
      </c>
      <c r="B422" s="81" t="str">
        <f t="shared" si="1"/>
        <v>2025-08</v>
      </c>
      <c r="C422" s="103">
        <v>2.00036189E8</v>
      </c>
      <c r="D422" s="91" t="str">
        <f>IFERROR(VLOOKUP(C422,produto,2,FALSE), "Produto não encontrado")</f>
        <v>COPO DESCARTAVEL 180ML</v>
      </c>
      <c r="E422" s="92" t="s">
        <v>528</v>
      </c>
      <c r="F422" s="93">
        <v>1.0</v>
      </c>
      <c r="G422" s="101" t="s">
        <v>586</v>
      </c>
      <c r="H422" s="97"/>
      <c r="I422" s="86"/>
      <c r="J422" s="88"/>
      <c r="K422" s="88"/>
    </row>
    <row r="423" ht="22.5" customHeight="1">
      <c r="A423" s="90">
        <v>45887.0</v>
      </c>
      <c r="B423" s="81" t="str">
        <f t="shared" si="1"/>
        <v>2025-08</v>
      </c>
      <c r="C423" s="103">
        <v>2.00064766E8</v>
      </c>
      <c r="D423" s="91" t="str">
        <f>IFERROR(VLOOKUP(C423,produto,2,FALSE), "Produto não encontrado")</f>
        <v>PASTA COM ELASTICO LONGA 335 X 245 X 55MM</v>
      </c>
      <c r="E423" s="92" t="s">
        <v>528</v>
      </c>
      <c r="F423" s="93">
        <v>1.0</v>
      </c>
      <c r="G423" s="101" t="s">
        <v>594</v>
      </c>
      <c r="H423" s="97"/>
      <c r="I423" s="86"/>
      <c r="J423" s="88"/>
      <c r="K423" s="88"/>
    </row>
    <row r="424" ht="22.5" customHeight="1">
      <c r="A424" s="90">
        <v>45887.0</v>
      </c>
      <c r="B424" s="81" t="str">
        <f t="shared" si="1"/>
        <v>2025-08</v>
      </c>
      <c r="C424" s="103">
        <v>2.00000032E8</v>
      </c>
      <c r="D424" s="91" t="str">
        <f>IFERROR(VLOOKUP(C424,produto,2,FALSE), "Produto não encontrado")</f>
        <v>INJETADO SOMENTE ENGATE 25 MM</v>
      </c>
      <c r="E424" s="92" t="s">
        <v>528</v>
      </c>
      <c r="F424" s="93">
        <v>2.0</v>
      </c>
      <c r="G424" s="106" t="s">
        <v>568</v>
      </c>
      <c r="H424" s="97"/>
      <c r="I424" s="86"/>
      <c r="J424" s="88"/>
      <c r="K424" s="88"/>
    </row>
    <row r="425" ht="22.5" customHeight="1">
      <c r="A425" s="90">
        <v>45887.0</v>
      </c>
      <c r="B425" s="81" t="str">
        <f t="shared" si="1"/>
        <v>2025-08</v>
      </c>
      <c r="C425" s="103">
        <v>2.00036733E8</v>
      </c>
      <c r="D425" s="91" t="str">
        <f>IFERROR(VLOOKUP(C425,produto,2,FALSE), "Produto não encontrado")</f>
        <v> CANETA MARCA TEXTO PLASTICA COR AMARELO</v>
      </c>
      <c r="E425" s="92" t="s">
        <v>528</v>
      </c>
      <c r="F425" s="93">
        <v>1.0</v>
      </c>
      <c r="G425" s="101" t="s">
        <v>586</v>
      </c>
      <c r="H425" s="97"/>
      <c r="I425" s="86"/>
      <c r="J425" s="88"/>
      <c r="K425" s="88"/>
    </row>
    <row r="426" ht="22.5" customHeight="1">
      <c r="A426" s="90">
        <v>45887.0</v>
      </c>
      <c r="B426" s="81" t="str">
        <f t="shared" si="1"/>
        <v>2025-08</v>
      </c>
      <c r="C426" s="103">
        <v>2.00031707E8</v>
      </c>
      <c r="D426" s="91" t="str">
        <f>IFERROR(VLOOKUP(C426,produto,2,FALSE), "Produto não encontrado")</f>
        <v>MARCA TEXTO AZUL</v>
      </c>
      <c r="E426" s="92" t="s">
        <v>528</v>
      </c>
      <c r="F426" s="93">
        <v>1.0</v>
      </c>
      <c r="G426" s="101" t="s">
        <v>586</v>
      </c>
      <c r="H426" s="97"/>
      <c r="I426" s="86"/>
      <c r="J426" s="88"/>
      <c r="K426" s="88"/>
    </row>
    <row r="427" ht="22.5" customHeight="1">
      <c r="A427" s="90">
        <v>45887.0</v>
      </c>
      <c r="B427" s="81" t="str">
        <f t="shared" si="1"/>
        <v>2025-08</v>
      </c>
      <c r="C427" s="103">
        <v>2.00064766E8</v>
      </c>
      <c r="D427" s="91" t="str">
        <f>IFERROR(VLOOKUP(C427,produto,2,FALSE), "Produto não encontrado")</f>
        <v>PASTA COM ELASTICO LONGA 335 X 245 X 55MM</v>
      </c>
      <c r="E427" s="92" t="s">
        <v>528</v>
      </c>
      <c r="F427" s="93">
        <v>1.0</v>
      </c>
      <c r="G427" s="106" t="s">
        <v>571</v>
      </c>
      <c r="H427" s="97"/>
      <c r="I427" s="86"/>
      <c r="J427" s="88"/>
      <c r="K427" s="88"/>
    </row>
    <row r="428" ht="22.5" customHeight="1">
      <c r="A428" s="90">
        <v>45887.0</v>
      </c>
      <c r="B428" s="81" t="str">
        <f t="shared" si="1"/>
        <v>2025-08</v>
      </c>
      <c r="C428" s="103">
        <v>2.00000038E8</v>
      </c>
      <c r="D428" s="91" t="str">
        <f>IFERROR(VLOOKUP(C428,produto,2,FALSE), "Produto não encontrado")</f>
        <v>PASSANTE FERRO NIQUEL(NIVELADOR) 25MM</v>
      </c>
      <c r="E428" s="92" t="s">
        <v>528</v>
      </c>
      <c r="F428" s="93">
        <v>6.0</v>
      </c>
      <c r="G428" s="106" t="s">
        <v>575</v>
      </c>
      <c r="H428" s="97"/>
      <c r="I428" s="86"/>
      <c r="J428" s="88"/>
      <c r="K428" s="88"/>
    </row>
    <row r="429" ht="22.5" customHeight="1">
      <c r="A429" s="90">
        <v>45887.0</v>
      </c>
      <c r="B429" s="81" t="str">
        <f t="shared" si="1"/>
        <v>2025-08</v>
      </c>
      <c r="C429" s="103">
        <v>2.0007495E8</v>
      </c>
      <c r="D429" s="91" t="str">
        <f>IFERROR(VLOOKUP(C429,produto,2,FALSE), "Produto não encontrado")</f>
        <v>PILHA ALCALINA AA 1,5V COM 4 UNIDADES</v>
      </c>
      <c r="E429" s="92" t="s">
        <v>528</v>
      </c>
      <c r="F429" s="93">
        <v>1.0</v>
      </c>
      <c r="G429" s="101" t="s">
        <v>579</v>
      </c>
      <c r="H429" s="97"/>
      <c r="I429" s="86"/>
      <c r="J429" s="88"/>
      <c r="K429" s="88"/>
    </row>
    <row r="430" ht="22.5" customHeight="1">
      <c r="A430" s="90">
        <v>45884.0</v>
      </c>
      <c r="B430" s="81" t="str">
        <f t="shared" si="1"/>
        <v>2025-08</v>
      </c>
      <c r="C430" s="103">
        <v>2.00036752E8</v>
      </c>
      <c r="D430" s="91" t="str">
        <f>IFERROR(VLOOKUP(C430,produto,2,FALSE), "Produto não encontrado")</f>
        <v>ALCOOL 1LT</v>
      </c>
      <c r="E430" s="92" t="s">
        <v>528</v>
      </c>
      <c r="F430" s="93">
        <v>1.0</v>
      </c>
      <c r="G430" s="101" t="s">
        <v>586</v>
      </c>
      <c r="H430" s="97"/>
      <c r="I430" s="86"/>
      <c r="J430" s="88"/>
      <c r="K430" s="88"/>
    </row>
    <row r="431" ht="22.5" customHeight="1">
      <c r="A431" s="90">
        <v>45884.0</v>
      </c>
      <c r="B431" s="81" t="str">
        <f t="shared" si="1"/>
        <v>2025-08</v>
      </c>
      <c r="C431" s="103">
        <v>2.00064766E8</v>
      </c>
      <c r="D431" s="91" t="str">
        <f>IFERROR(VLOOKUP(C431,produto,2,FALSE), "Produto não encontrado")</f>
        <v>PASTA COM ELASTICO LONGA 335 X 245 X 55MM</v>
      </c>
      <c r="E431" s="92" t="s">
        <v>528</v>
      </c>
      <c r="F431" s="93">
        <v>1.0</v>
      </c>
      <c r="G431" s="101" t="s">
        <v>591</v>
      </c>
      <c r="H431" s="97"/>
      <c r="I431" s="86"/>
      <c r="J431" s="88"/>
      <c r="K431" s="88"/>
    </row>
    <row r="432" ht="22.5" customHeight="1">
      <c r="A432" s="90">
        <v>45884.0</v>
      </c>
      <c r="B432" s="81" t="str">
        <f t="shared" si="1"/>
        <v>2025-08</v>
      </c>
      <c r="C432" s="107">
        <v>2.00037413E8</v>
      </c>
      <c r="D432" s="91" t="str">
        <f>IFERROR(VLOOKUP(C432,produto,2,FALSE), "Produto não encontrado")</f>
        <v>CLIPS NIQUELADO Nº 3 COM 50 UN</v>
      </c>
      <c r="E432" s="92" t="s">
        <v>528</v>
      </c>
      <c r="F432" s="93">
        <v>1.0</v>
      </c>
      <c r="G432" s="101" t="s">
        <v>591</v>
      </c>
      <c r="H432" s="97"/>
      <c r="I432" s="86"/>
      <c r="J432" s="88"/>
      <c r="K432" s="88"/>
    </row>
    <row r="433" ht="22.5" customHeight="1">
      <c r="A433" s="90">
        <v>45883.0</v>
      </c>
      <c r="B433" s="81" t="str">
        <f t="shared" si="1"/>
        <v>2025-08</v>
      </c>
      <c r="C433" s="103">
        <v>2.00083825E8</v>
      </c>
      <c r="D433" s="91" t="str">
        <f>IFERROR(VLOOKUP(C433,produto,2,FALSE), "Produto não encontrado")</f>
        <v>ESPUMA LAMINADA D-33 SELADA 5000X1900X5.00CM</v>
      </c>
      <c r="E433" s="92" t="s">
        <v>528</v>
      </c>
      <c r="F433" s="93">
        <v>0.4</v>
      </c>
      <c r="G433" s="101" t="s">
        <v>581</v>
      </c>
      <c r="H433" s="97"/>
      <c r="I433" s="86"/>
      <c r="J433" s="88"/>
      <c r="K433" s="88"/>
    </row>
    <row r="434" ht="22.5" customHeight="1">
      <c r="A434" s="90">
        <v>45883.0</v>
      </c>
      <c r="B434" s="81" t="str">
        <f t="shared" si="1"/>
        <v>2025-08</v>
      </c>
      <c r="C434" s="103">
        <v>2.00054364E8</v>
      </c>
      <c r="D434" s="91" t="str">
        <f>IFERROR(VLOOKUP(C434,produto,2,FALSE), "Produto não encontrado")</f>
        <v>ESTILETE PLASTICO DE 13CM LAMINA LARGA</v>
      </c>
      <c r="E434" s="92" t="s">
        <v>528</v>
      </c>
      <c r="F434" s="93">
        <v>1.0</v>
      </c>
      <c r="G434" s="101" t="s">
        <v>581</v>
      </c>
      <c r="H434" s="97"/>
      <c r="I434" s="86"/>
      <c r="J434" s="88"/>
      <c r="K434" s="88"/>
    </row>
    <row r="435" ht="22.5" customHeight="1">
      <c r="A435" s="90">
        <v>45883.0</v>
      </c>
      <c r="B435" s="81" t="str">
        <f t="shared" si="1"/>
        <v>2025-08</v>
      </c>
      <c r="C435" s="103">
        <v>2.00000036E8</v>
      </c>
      <c r="D435" s="91" t="str">
        <f>IFERROR(VLOOKUP(C435,produto,2,FALSE), "Produto não encontrado")</f>
        <v>PAPEL TRANSFER SUBLIMÁTICO  MASCULINO</v>
      </c>
      <c r="E435" s="92" t="s">
        <v>528</v>
      </c>
      <c r="F435" s="93">
        <v>1.0</v>
      </c>
      <c r="G435" s="106" t="s">
        <v>575</v>
      </c>
      <c r="H435" s="97"/>
      <c r="I435" s="86"/>
      <c r="J435" s="88"/>
      <c r="K435" s="88"/>
    </row>
    <row r="436" ht="22.5" customHeight="1">
      <c r="A436" s="90">
        <v>45883.0</v>
      </c>
      <c r="B436" s="81" t="str">
        <f t="shared" si="1"/>
        <v>2025-08</v>
      </c>
      <c r="C436" s="103">
        <v>2.00000046E8</v>
      </c>
      <c r="D436" s="91" t="str">
        <f>IFERROR(VLOOKUP(C436,produto,2,FALSE), "Produto não encontrado")</f>
        <v>Malha Tubular de Algodão 15cmx15m</v>
      </c>
      <c r="E436" s="92" t="s">
        <v>528</v>
      </c>
      <c r="F436" s="93">
        <v>1.0</v>
      </c>
      <c r="G436" s="106" t="s">
        <v>575</v>
      </c>
      <c r="H436" s="97"/>
      <c r="I436" s="86"/>
      <c r="J436" s="88"/>
      <c r="K436" s="88"/>
    </row>
    <row r="437" ht="22.5" customHeight="1">
      <c r="A437" s="90">
        <v>45883.0</v>
      </c>
      <c r="B437" s="81" t="str">
        <f t="shared" si="1"/>
        <v>2025-08</v>
      </c>
      <c r="C437" s="103">
        <v>2.00043608E8</v>
      </c>
      <c r="D437" s="91" t="str">
        <f>IFERROR(VLOOKUP(C437,produto,2,FALSE), "Produto não encontrado")</f>
        <v>CORDÃO RABO DE RATO Nº5/3 COM 50M</v>
      </c>
      <c r="E437" s="92" t="s">
        <v>528</v>
      </c>
      <c r="F437" s="93">
        <v>1.0</v>
      </c>
      <c r="G437" s="106" t="s">
        <v>571</v>
      </c>
      <c r="H437" s="97"/>
      <c r="I437" s="86"/>
      <c r="J437" s="88"/>
      <c r="K437" s="88"/>
    </row>
    <row r="438" ht="22.5" customHeight="1">
      <c r="A438" s="90">
        <v>45883.0</v>
      </c>
      <c r="B438" s="81" t="str">
        <f t="shared" si="1"/>
        <v>2025-08</v>
      </c>
      <c r="C438" s="103">
        <v>2.00043608E8</v>
      </c>
      <c r="D438" s="91" t="str">
        <f>IFERROR(VLOOKUP(C438,produto,2,FALSE), "Produto não encontrado")</f>
        <v>CORDÃO RABO DE RATO Nº5/3 COM 50M</v>
      </c>
      <c r="E438" s="92" t="s">
        <v>526</v>
      </c>
      <c r="F438" s="93">
        <v>1.0</v>
      </c>
      <c r="G438" s="101" t="s">
        <v>11</v>
      </c>
      <c r="H438" s="97"/>
      <c r="I438" s="86"/>
      <c r="J438" s="88"/>
      <c r="K438" s="88"/>
    </row>
    <row r="439" ht="22.5" customHeight="1">
      <c r="A439" s="90">
        <v>45882.0</v>
      </c>
      <c r="B439" s="81" t="str">
        <f t="shared" si="1"/>
        <v>2025-08</v>
      </c>
      <c r="C439" s="124" t="s">
        <v>494</v>
      </c>
      <c r="D439" s="91" t="str">
        <f>IFERROR(VLOOKUP(C439,produto,2,FALSE), "Produto não encontrado")</f>
        <v>Tesoura Alfaiate 4598-12 Onyx 12" Preta Mundial</v>
      </c>
      <c r="E439" s="92" t="s">
        <v>528</v>
      </c>
      <c r="F439" s="93">
        <v>1.0</v>
      </c>
      <c r="G439" s="106" t="s">
        <v>575</v>
      </c>
      <c r="H439" s="97"/>
      <c r="I439" s="86"/>
      <c r="J439" s="88"/>
      <c r="K439" s="88"/>
    </row>
    <row r="440" ht="22.5" customHeight="1">
      <c r="A440" s="90">
        <v>45881.0</v>
      </c>
      <c r="B440" s="81" t="str">
        <f t="shared" si="1"/>
        <v>2025-08</v>
      </c>
      <c r="C440" s="100">
        <v>2.00036189E8</v>
      </c>
      <c r="D440" s="91" t="str">
        <f>IFERROR(VLOOKUP(C440,produto,2,FALSE), "Produto não encontrado")</f>
        <v>COPO DESCARTAVEL 180ML</v>
      </c>
      <c r="E440" s="92" t="s">
        <v>528</v>
      </c>
      <c r="F440" s="93">
        <v>1.0</v>
      </c>
      <c r="G440" s="101" t="s">
        <v>586</v>
      </c>
      <c r="H440" s="97"/>
      <c r="I440" s="86"/>
      <c r="J440" s="88"/>
      <c r="K440" s="88"/>
    </row>
    <row r="441" ht="22.5" customHeight="1">
      <c r="A441" s="90">
        <v>45881.0</v>
      </c>
      <c r="B441" s="81" t="str">
        <f t="shared" si="1"/>
        <v>2025-08</v>
      </c>
      <c r="C441" s="107">
        <v>2.00033068E8</v>
      </c>
      <c r="D441" s="91" t="str">
        <f>IFERROR(VLOOKUP(C441,produto,2,FALSE), "Produto não encontrado")</f>
        <v> PAPEL SULFITE A4 210 X 297MM 75G BRANCO MULTIUSO PACOTE COM 500 FLS</v>
      </c>
      <c r="E441" s="92" t="s">
        <v>528</v>
      </c>
      <c r="F441" s="93">
        <v>1.0</v>
      </c>
      <c r="G441" s="101" t="s">
        <v>586</v>
      </c>
      <c r="H441" s="97"/>
      <c r="I441" s="86"/>
      <c r="J441" s="88"/>
      <c r="K441" s="88"/>
    </row>
    <row r="442" ht="22.5" customHeight="1">
      <c r="A442" s="90">
        <v>45881.0</v>
      </c>
      <c r="B442" s="81" t="str">
        <f t="shared" si="1"/>
        <v>2025-08</v>
      </c>
      <c r="C442" s="107">
        <v>2.00000035E8</v>
      </c>
      <c r="D442" s="91" t="str">
        <f>IFERROR(VLOOKUP(C442,produto,2,FALSE), "Produto não encontrado")</f>
        <v>PAPEL TRANSFER SUBLIMÁTICO  NEUTRO</v>
      </c>
      <c r="E442" s="92" t="s">
        <v>528</v>
      </c>
      <c r="F442" s="93">
        <v>2.0</v>
      </c>
      <c r="G442" s="101" t="s">
        <v>581</v>
      </c>
      <c r="H442" s="97"/>
      <c r="I442" s="86"/>
      <c r="J442" s="88"/>
      <c r="K442" s="88"/>
    </row>
    <row r="443" ht="22.5" customHeight="1">
      <c r="A443" s="90">
        <v>45881.0</v>
      </c>
      <c r="B443" s="81" t="str">
        <f t="shared" si="1"/>
        <v>2025-08</v>
      </c>
      <c r="C443" s="107">
        <v>2.00000036E8</v>
      </c>
      <c r="D443" s="91" t="str">
        <f>IFERROR(VLOOKUP(C443,produto,2,FALSE), "Produto não encontrado")</f>
        <v>PAPEL TRANSFER SUBLIMÁTICO  MASCULINO</v>
      </c>
      <c r="E443" s="92" t="s">
        <v>528</v>
      </c>
      <c r="F443" s="93">
        <v>3.0</v>
      </c>
      <c r="G443" s="101" t="s">
        <v>581</v>
      </c>
      <c r="H443" s="97"/>
      <c r="I443" s="86"/>
      <c r="J443" s="88"/>
      <c r="K443" s="88"/>
    </row>
    <row r="444" ht="22.5" customHeight="1">
      <c r="A444" s="90">
        <v>45881.0</v>
      </c>
      <c r="B444" s="81" t="str">
        <f t="shared" si="1"/>
        <v>2025-08</v>
      </c>
      <c r="C444" s="107">
        <v>2.00000037E8</v>
      </c>
      <c r="D444" s="125" t="str">
        <f>IFERROR(VLOOKUP(C444,produto,2,FALSE), "Produto não encontrado")</f>
        <v>PAPEL TRANSFER SUBLIMÁTICO  FEMININO</v>
      </c>
      <c r="E444" s="92" t="s">
        <v>528</v>
      </c>
      <c r="F444" s="93">
        <v>2.0</v>
      </c>
      <c r="G444" s="101" t="s">
        <v>581</v>
      </c>
      <c r="H444" s="97"/>
      <c r="I444" s="86"/>
      <c r="J444" s="88"/>
      <c r="K444" s="88"/>
    </row>
    <row r="445" ht="22.5" customHeight="1">
      <c r="A445" s="90">
        <v>45880.0</v>
      </c>
      <c r="B445" s="81" t="str">
        <f t="shared" si="1"/>
        <v>2025-08</v>
      </c>
      <c r="C445" s="107">
        <v>2.00083824E8</v>
      </c>
      <c r="D445" s="125" t="str">
        <f>IFERROR(VLOOKUP(C445,produto,2,FALSE), "Produto não encontrado")</f>
        <v>ESPUMA LAMINADA D-33 SELADA 5000X1900X3.00CM</v>
      </c>
      <c r="E445" s="92" t="s">
        <v>528</v>
      </c>
      <c r="F445" s="93">
        <v>0.2</v>
      </c>
      <c r="G445" s="106" t="s">
        <v>568</v>
      </c>
      <c r="H445" s="97"/>
      <c r="I445" s="86"/>
      <c r="J445" s="88"/>
      <c r="K445" s="88"/>
    </row>
    <row r="446" ht="22.5" customHeight="1">
      <c r="A446" s="90">
        <v>45880.0</v>
      </c>
      <c r="B446" s="81" t="str">
        <f t="shared" si="1"/>
        <v>2025-08</v>
      </c>
      <c r="C446" s="107">
        <v>2.00083825E8</v>
      </c>
      <c r="D446" s="125" t="str">
        <f>IFERROR(VLOOKUP(C446,produto,2,FALSE), "Produto não encontrado")</f>
        <v>ESPUMA LAMINADA D-33 SELADA 5000X1900X5.00CM</v>
      </c>
      <c r="E446" s="92" t="s">
        <v>528</v>
      </c>
      <c r="F446" s="93">
        <v>0.2</v>
      </c>
      <c r="G446" s="106" t="s">
        <v>568</v>
      </c>
      <c r="H446" s="97"/>
      <c r="I446" s="86"/>
      <c r="J446" s="88"/>
      <c r="K446" s="88"/>
    </row>
    <row r="447" ht="22.5" customHeight="1">
      <c r="A447" s="90">
        <v>45880.0</v>
      </c>
      <c r="B447" s="81" t="str">
        <f t="shared" si="1"/>
        <v>2025-08</v>
      </c>
      <c r="C447" s="107">
        <v>2.00000045E8</v>
      </c>
      <c r="D447" s="125" t="str">
        <f>IFERROR(VLOOKUP(C447,produto,2,FALSE), "Produto não encontrado")</f>
        <v>Malha Tubular de Algodão 10cm x 15m</v>
      </c>
      <c r="E447" s="92" t="s">
        <v>528</v>
      </c>
      <c r="F447" s="93">
        <v>7.0</v>
      </c>
      <c r="G447" s="101" t="s">
        <v>581</v>
      </c>
      <c r="H447" s="97"/>
      <c r="I447" s="86"/>
      <c r="J447" s="88"/>
      <c r="K447" s="88"/>
    </row>
    <row r="448" ht="22.5" customHeight="1">
      <c r="A448" s="90">
        <v>45879.0</v>
      </c>
      <c r="B448" s="81" t="str">
        <f t="shared" si="1"/>
        <v>2025-08</v>
      </c>
      <c r="C448" s="107">
        <v>2.00062843E8</v>
      </c>
      <c r="D448" s="125" t="str">
        <f>IFERROR(VLOOKUP(C448,produto,2,FALSE), "Produto não encontrado")</f>
        <v>PILHA ALCALINA PALITO - AAA - LR03 04UN</v>
      </c>
      <c r="E448" s="92" t="s">
        <v>528</v>
      </c>
      <c r="F448" s="93">
        <v>2.0</v>
      </c>
      <c r="G448" s="101" t="s">
        <v>582</v>
      </c>
      <c r="H448" s="97"/>
      <c r="I448" s="86"/>
      <c r="J448" s="88"/>
      <c r="K448" s="88"/>
    </row>
    <row r="449" ht="22.5" customHeight="1">
      <c r="A449" s="90">
        <v>45877.0</v>
      </c>
      <c r="B449" s="81" t="str">
        <f t="shared" si="1"/>
        <v>2025-08</v>
      </c>
      <c r="C449" s="107">
        <v>2.00004226E8</v>
      </c>
      <c r="D449" s="125" t="str">
        <f>IFERROR(VLOOKUP(C449,produto,2,FALSE), "Produto não encontrado")</f>
        <v>INJETADO FECHO ENGATE 50MM</v>
      </c>
      <c r="E449" s="92" t="s">
        <v>528</v>
      </c>
      <c r="F449" s="93">
        <v>1.0</v>
      </c>
      <c r="G449" s="106" t="s">
        <v>575</v>
      </c>
      <c r="H449" s="97"/>
      <c r="I449" s="86"/>
      <c r="J449" s="88"/>
      <c r="K449" s="88"/>
    </row>
    <row r="450" ht="22.5" customHeight="1">
      <c r="A450" s="90">
        <v>45877.0</v>
      </c>
      <c r="B450" s="81" t="str">
        <f t="shared" si="1"/>
        <v>2025-08</v>
      </c>
      <c r="C450" s="107">
        <v>2.00083824E8</v>
      </c>
      <c r="D450" s="125" t="str">
        <f>IFERROR(VLOOKUP(C450,produto,2,FALSE), "Produto não encontrado")</f>
        <v>ESPUMA LAMINADA D-33 SELADA 5000X1900X3.00CM</v>
      </c>
      <c r="E450" s="92" t="s">
        <v>528</v>
      </c>
      <c r="F450" s="93">
        <v>0.5</v>
      </c>
      <c r="G450" s="106" t="s">
        <v>568</v>
      </c>
      <c r="H450" s="97"/>
      <c r="I450" s="86"/>
      <c r="J450" s="88"/>
      <c r="K450" s="88"/>
    </row>
    <row r="451" ht="22.5" customHeight="1">
      <c r="A451" s="90">
        <v>45877.0</v>
      </c>
      <c r="B451" s="81" t="str">
        <f t="shared" si="1"/>
        <v>2025-08</v>
      </c>
      <c r="C451" s="107">
        <v>2.00083825E8</v>
      </c>
      <c r="D451" s="125" t="str">
        <f>IFERROR(VLOOKUP(C451,produto,2,FALSE), "Produto não encontrado")</f>
        <v>ESPUMA LAMINADA D-33 SELADA 5000X1900X5.00CM</v>
      </c>
      <c r="E451" s="92" t="s">
        <v>528</v>
      </c>
      <c r="F451" s="93">
        <v>0.5</v>
      </c>
      <c r="G451" s="106" t="s">
        <v>568</v>
      </c>
      <c r="H451" s="97"/>
      <c r="I451" s="86"/>
      <c r="J451" s="88"/>
      <c r="K451" s="88"/>
    </row>
    <row r="452" ht="22.5" customHeight="1">
      <c r="A452" s="90">
        <v>45877.0</v>
      </c>
      <c r="B452" s="81" t="str">
        <f t="shared" si="1"/>
        <v>2025-08</v>
      </c>
      <c r="C452" s="107">
        <v>2.00061185E8</v>
      </c>
      <c r="D452" s="125" t="str">
        <f>IFERROR(VLOOKUP(C452,produto,2,FALSE), "Produto não encontrado")</f>
        <v>LAMINA PARA ESTILETE ESTREITO DE 18CM</v>
      </c>
      <c r="E452" s="92" t="s">
        <v>528</v>
      </c>
      <c r="F452" s="93">
        <v>1.0</v>
      </c>
      <c r="G452" s="106" t="s">
        <v>568</v>
      </c>
      <c r="H452" s="97"/>
      <c r="I452" s="86"/>
      <c r="J452" s="88"/>
      <c r="K452" s="88"/>
    </row>
    <row r="453" ht="22.5" customHeight="1">
      <c r="A453" s="90">
        <v>45877.0</v>
      </c>
      <c r="B453" s="81" t="str">
        <f t="shared" si="1"/>
        <v>2025-08</v>
      </c>
      <c r="C453" s="107">
        <v>2.00000044E8</v>
      </c>
      <c r="D453" s="125" t="str">
        <f>IFERROR(VLOOKUP(C453,produto,2,FALSE), "Produto não encontrado")</f>
        <v>CHAPA polipropileno ortopédico natural Medidas 2,000x1000x5mm</v>
      </c>
      <c r="E453" s="92" t="s">
        <v>528</v>
      </c>
      <c r="F453" s="93">
        <v>0.5</v>
      </c>
      <c r="G453" s="106" t="s">
        <v>568</v>
      </c>
      <c r="H453" s="97"/>
      <c r="I453" s="86"/>
      <c r="J453" s="88"/>
      <c r="K453" s="88"/>
    </row>
    <row r="454" ht="22.5" customHeight="1">
      <c r="A454" s="90">
        <v>45875.0</v>
      </c>
      <c r="B454" s="81" t="str">
        <f t="shared" si="1"/>
        <v>2025-08</v>
      </c>
      <c r="C454" s="107">
        <v>2.00033068E8</v>
      </c>
      <c r="D454" s="125" t="str">
        <f>IFERROR(VLOOKUP(C454,produto,2,FALSE), "Produto não encontrado")</f>
        <v> PAPEL SULFITE A4 210 X 297MM 75G BRANCO MULTIUSO PACOTE COM 500 FLS</v>
      </c>
      <c r="E454" s="92" t="s">
        <v>526</v>
      </c>
      <c r="F454" s="93">
        <v>3.0</v>
      </c>
      <c r="G454" s="101" t="s">
        <v>11</v>
      </c>
      <c r="H454" s="97"/>
      <c r="I454" s="86"/>
      <c r="J454" s="88"/>
      <c r="K454" s="88"/>
    </row>
    <row r="455" ht="22.5" customHeight="1">
      <c r="A455" s="90">
        <v>45875.0</v>
      </c>
      <c r="B455" s="81" t="str">
        <f t="shared" si="1"/>
        <v>2025-08</v>
      </c>
      <c r="C455" s="107">
        <v>2.00036189E8</v>
      </c>
      <c r="D455" s="125" t="str">
        <f>IFERROR(VLOOKUP(C455,produto,2,FALSE), "Produto não encontrado")</f>
        <v>COPO DESCARTAVEL 180ML</v>
      </c>
      <c r="E455" s="92" t="s">
        <v>526</v>
      </c>
      <c r="F455" s="93">
        <v>4.0</v>
      </c>
      <c r="G455" s="101" t="s">
        <v>11</v>
      </c>
      <c r="H455" s="97"/>
      <c r="I455" s="86"/>
      <c r="J455" s="88"/>
      <c r="K455" s="88"/>
    </row>
    <row r="456" ht="22.5" customHeight="1">
      <c r="A456" s="90">
        <v>45875.0</v>
      </c>
      <c r="B456" s="81" t="str">
        <f t="shared" si="1"/>
        <v>2025-08</v>
      </c>
      <c r="C456" s="107">
        <v>2.00036489E8</v>
      </c>
      <c r="D456" s="125" t="str">
        <f>IFERROR(VLOOKUP(C456,produto,2,FALSE), "Produto não encontrado")</f>
        <v>CLIPS NIQUELADO Nº 1 COM 100 UN</v>
      </c>
      <c r="E456" s="92" t="s">
        <v>526</v>
      </c>
      <c r="F456" s="93">
        <v>2.0</v>
      </c>
      <c r="G456" s="101" t="s">
        <v>11</v>
      </c>
      <c r="H456" s="97"/>
      <c r="I456" s="86"/>
      <c r="J456" s="88"/>
      <c r="K456" s="88"/>
    </row>
    <row r="457" ht="22.5" customHeight="1">
      <c r="A457" s="90">
        <v>45875.0</v>
      </c>
      <c r="B457" s="81" t="str">
        <f t="shared" si="1"/>
        <v>2025-08</v>
      </c>
      <c r="C457" s="107">
        <v>2.00036656E8</v>
      </c>
      <c r="D457" s="125" t="str">
        <f>IFERROR(VLOOKUP(C457,produto,2,FALSE), "Produto não encontrado")</f>
        <v>FITA ADESIVA TRANSPARENTE 45MM X 50M</v>
      </c>
      <c r="E457" s="92" t="s">
        <v>526</v>
      </c>
      <c r="F457" s="93">
        <v>1.0</v>
      </c>
      <c r="G457" s="101" t="s">
        <v>11</v>
      </c>
      <c r="H457" s="97"/>
      <c r="I457" s="86"/>
      <c r="J457" s="88"/>
      <c r="K457" s="88"/>
    </row>
    <row r="458" ht="22.5" customHeight="1">
      <c r="A458" s="90">
        <v>45875.0</v>
      </c>
      <c r="B458" s="81" t="str">
        <f t="shared" si="1"/>
        <v>2025-08</v>
      </c>
      <c r="C458" s="126">
        <v>2.00037491E8</v>
      </c>
      <c r="D458" s="125" t="str">
        <f>IFERROR(VLOOKUP(C458,produto,2,FALSE), "Produto não encontrado")</f>
        <v>MASCARA CIRURGICA TRIPLA</v>
      </c>
      <c r="E458" s="92" t="s">
        <v>526</v>
      </c>
      <c r="F458" s="93">
        <v>2.0</v>
      </c>
      <c r="G458" s="101" t="s">
        <v>11</v>
      </c>
      <c r="H458" s="97"/>
      <c r="I458" s="86"/>
      <c r="J458" s="88"/>
      <c r="K458" s="88"/>
    </row>
    <row r="459" ht="22.5" customHeight="1">
      <c r="A459" s="90">
        <v>45875.0</v>
      </c>
      <c r="B459" s="81" t="str">
        <f t="shared" si="1"/>
        <v>2025-08</v>
      </c>
      <c r="C459" s="126">
        <v>2.00038284E8</v>
      </c>
      <c r="D459" s="125" t="str">
        <f>IFERROR(VLOOKUP(C459,produto,2,FALSE), "Produto não encontrado")</f>
        <v>ABRAÇADEIRA DE NYLON 100X2,5MM</v>
      </c>
      <c r="E459" s="92" t="s">
        <v>526</v>
      </c>
      <c r="F459" s="93">
        <v>1.0</v>
      </c>
      <c r="G459" s="101" t="s">
        <v>11</v>
      </c>
      <c r="H459" s="97"/>
      <c r="I459" s="86"/>
      <c r="J459" s="88"/>
      <c r="K459" s="88"/>
    </row>
    <row r="460" ht="22.5" customHeight="1">
      <c r="A460" s="90">
        <v>45875.0</v>
      </c>
      <c r="B460" s="81" t="str">
        <f t="shared" si="1"/>
        <v>2025-08</v>
      </c>
      <c r="C460" s="126">
        <v>2.00052414E8</v>
      </c>
      <c r="D460" s="125" t="str">
        <f>IFERROR(VLOOKUP(C460,produto,2,FALSE), "Produto não encontrado")</f>
        <v>LUVA LATEX M(8) COM 100 UND</v>
      </c>
      <c r="E460" s="92" t="s">
        <v>526</v>
      </c>
      <c r="F460" s="93">
        <v>1.0</v>
      </c>
      <c r="G460" s="101" t="s">
        <v>11</v>
      </c>
      <c r="H460" s="97"/>
      <c r="I460" s="86"/>
      <c r="J460" s="88"/>
      <c r="K460" s="88"/>
    </row>
    <row r="461" ht="22.5" customHeight="1">
      <c r="A461" s="90">
        <v>45875.0</v>
      </c>
      <c r="B461" s="81" t="str">
        <f t="shared" si="1"/>
        <v>2025-08</v>
      </c>
      <c r="C461" s="126">
        <v>2.00061185E8</v>
      </c>
      <c r="D461" s="125" t="str">
        <f>IFERROR(VLOOKUP(C461,produto,2,FALSE), "Produto não encontrado")</f>
        <v>LAMINA PARA ESTILETE ESTREITO DE 18CM</v>
      </c>
      <c r="E461" s="92" t="s">
        <v>526</v>
      </c>
      <c r="F461" s="93">
        <v>5.0</v>
      </c>
      <c r="G461" s="101" t="s">
        <v>11</v>
      </c>
      <c r="H461" s="97"/>
      <c r="I461" s="86"/>
      <c r="J461" s="88"/>
      <c r="K461" s="88"/>
    </row>
    <row r="462" ht="22.5" customHeight="1">
      <c r="A462" s="90">
        <v>45875.0</v>
      </c>
      <c r="B462" s="81" t="str">
        <f t="shared" si="1"/>
        <v>2025-08</v>
      </c>
      <c r="C462" s="126">
        <v>2.00076172E8</v>
      </c>
      <c r="D462" s="125" t="str">
        <f>IFERROR(VLOOKUP(C462,produto,2,FALSE), "Produto não encontrado")</f>
        <v>LUVA DE VINIL G(9) COM 100 UND</v>
      </c>
      <c r="E462" s="92" t="s">
        <v>526</v>
      </c>
      <c r="F462" s="93">
        <v>1.0</v>
      </c>
      <c r="G462" s="101" t="s">
        <v>11</v>
      </c>
      <c r="H462" s="97"/>
      <c r="I462" s="86"/>
      <c r="J462" s="88"/>
      <c r="K462" s="88"/>
    </row>
    <row r="463" ht="22.5" customHeight="1">
      <c r="A463" s="90">
        <v>45875.0</v>
      </c>
      <c r="B463" s="81" t="str">
        <f t="shared" si="1"/>
        <v>2025-08</v>
      </c>
      <c r="C463" s="107">
        <v>2.00000047E8</v>
      </c>
      <c r="D463" s="125" t="str">
        <f>IFERROR(VLOOKUP(C463,produto,2,FALSE), "Produto não encontrado")</f>
        <v>POTES DE VIDRO 210ml</v>
      </c>
      <c r="E463" s="92" t="s">
        <v>528</v>
      </c>
      <c r="F463" s="93">
        <v>8.0</v>
      </c>
      <c r="G463" s="101"/>
      <c r="H463" s="97"/>
      <c r="I463" s="86"/>
      <c r="J463" s="88"/>
      <c r="K463" s="88"/>
    </row>
    <row r="464" ht="22.5" customHeight="1">
      <c r="A464" s="90">
        <v>45875.0</v>
      </c>
      <c r="B464" s="81" t="str">
        <f t="shared" si="1"/>
        <v>2025-08</v>
      </c>
      <c r="C464" s="107">
        <v>2.00000047E8</v>
      </c>
      <c r="D464" s="125" t="str">
        <f>IFERROR(VLOOKUP(C464,produto,2,FALSE), "Produto não encontrado")</f>
        <v>POTES DE VIDRO 210ml</v>
      </c>
      <c r="E464" s="92" t="s">
        <v>526</v>
      </c>
      <c r="F464" s="93">
        <v>12.0</v>
      </c>
      <c r="G464" s="101"/>
      <c r="H464" s="97"/>
      <c r="I464" s="86"/>
      <c r="J464" s="88"/>
      <c r="K464" s="88"/>
    </row>
    <row r="465" ht="22.5" customHeight="1">
      <c r="A465" s="90">
        <v>45870.0</v>
      </c>
      <c r="B465" s="81" t="str">
        <f t="shared" si="1"/>
        <v>2025-08</v>
      </c>
      <c r="C465" s="107">
        <v>2.00000039E8</v>
      </c>
      <c r="D465" s="125" t="str">
        <f>IFERROR(VLOOKUP(C465,produto,2,FALSE), "Produto não encontrado")</f>
        <v>PASSADOR OVAL FERRO (NIVELADOR)  50MM</v>
      </c>
      <c r="E465" s="92" t="s">
        <v>528</v>
      </c>
      <c r="F465" s="93">
        <v>1.0</v>
      </c>
      <c r="G465" s="106" t="s">
        <v>547</v>
      </c>
      <c r="H465" s="97"/>
      <c r="I465" s="86"/>
      <c r="J465" s="88"/>
      <c r="K465" s="88"/>
    </row>
    <row r="466" ht="22.5" customHeight="1">
      <c r="A466" s="90">
        <v>45870.0</v>
      </c>
      <c r="B466" s="81" t="str">
        <f t="shared" si="1"/>
        <v>2025-08</v>
      </c>
      <c r="C466" s="107">
        <v>2.00000024E8</v>
      </c>
      <c r="D466" s="125" t="str">
        <f>IFERROR(VLOOKUP(C466,produto,2,FALSE), "Produto não encontrado")</f>
        <v>PLACA TERMOPLASTICA -  ORFIT ECO BLACK NS 45 x 60cm x 2.4 mm </v>
      </c>
      <c r="E466" s="92" t="s">
        <v>528</v>
      </c>
      <c r="F466" s="93">
        <v>2.0</v>
      </c>
      <c r="G466" s="106" t="s">
        <v>547</v>
      </c>
      <c r="H466" s="97"/>
      <c r="I466" s="86"/>
      <c r="J466" s="88"/>
      <c r="K466" s="88"/>
    </row>
    <row r="467" ht="22.5" customHeight="1">
      <c r="A467" s="90">
        <v>45870.0</v>
      </c>
      <c r="B467" s="81" t="str">
        <f t="shared" si="1"/>
        <v>2025-08</v>
      </c>
      <c r="C467" s="107">
        <v>2.00000026E8</v>
      </c>
      <c r="D467" s="125" t="str">
        <f>IFERROR(VLOOKUP(C467,produto,2,FALSE), "Produto não encontrado")</f>
        <v>PLACA TERMOPLASTICA - ORFIT ECO NATUREL 45 x 60 cm 2.4 mm </v>
      </c>
      <c r="E467" s="92" t="s">
        <v>528</v>
      </c>
      <c r="F467" s="93">
        <v>4.0</v>
      </c>
      <c r="G467" s="106" t="s">
        <v>547</v>
      </c>
      <c r="H467" s="97"/>
      <c r="I467" s="86"/>
      <c r="J467" s="88"/>
      <c r="K467" s="88"/>
    </row>
    <row r="468" ht="22.5" customHeight="1">
      <c r="A468" s="90">
        <v>45870.0</v>
      </c>
      <c r="B468" s="81" t="str">
        <f t="shared" si="1"/>
        <v>2025-08</v>
      </c>
      <c r="C468" s="107">
        <v>2.00001528E8</v>
      </c>
      <c r="D468" s="125" t="str">
        <f>IFERROR(VLOOKUP(C468,produto,2,FALSE), "Produto não encontrado")</f>
        <v> LAPIS GRAFITE Nº 02</v>
      </c>
      <c r="E468" s="92" t="s">
        <v>528</v>
      </c>
      <c r="F468" s="93">
        <v>1.0</v>
      </c>
      <c r="G468" s="106" t="s">
        <v>547</v>
      </c>
      <c r="H468" s="97"/>
      <c r="I468" s="86"/>
      <c r="J468" s="88"/>
      <c r="K468" s="88"/>
    </row>
    <row r="469" ht="22.5" customHeight="1">
      <c r="A469" s="90">
        <v>45870.0</v>
      </c>
      <c r="B469" s="81" t="str">
        <f t="shared" si="1"/>
        <v>2025-08</v>
      </c>
      <c r="C469" s="107">
        <v>2.00066236E8</v>
      </c>
      <c r="D469" s="125" t="str">
        <f>IFERROR(VLOOKUP(C469,produto,2,FALSE), "Produto não encontrado")</f>
        <v>ENVELOPE MADEIRA A4 240 X 340MM 80G</v>
      </c>
      <c r="E469" s="92" t="s">
        <v>526</v>
      </c>
      <c r="F469" s="93">
        <v>3.0</v>
      </c>
      <c r="G469" s="106" t="s">
        <v>547</v>
      </c>
      <c r="H469" s="97"/>
      <c r="I469" s="86"/>
      <c r="J469" s="88"/>
      <c r="K469" s="88"/>
    </row>
    <row r="470" ht="22.5" customHeight="1">
      <c r="A470" s="90">
        <v>45870.0</v>
      </c>
      <c r="B470" s="81" t="str">
        <f t="shared" si="1"/>
        <v>2025-08</v>
      </c>
      <c r="C470" s="107">
        <v>2.00036618E8</v>
      </c>
      <c r="D470" s="125" t="str">
        <f>IFERROR(VLOOKUP(C470,produto,2,FALSE), "Produto não encontrado")</f>
        <v>ESPONJA SINTETICA DUPLA FACE 10X7X2</v>
      </c>
      <c r="E470" s="92" t="s">
        <v>528</v>
      </c>
      <c r="F470" s="93">
        <v>1.0</v>
      </c>
      <c r="G470" s="101" t="s">
        <v>582</v>
      </c>
      <c r="H470" s="97"/>
      <c r="I470" s="86"/>
      <c r="J470" s="88"/>
      <c r="K470" s="88"/>
    </row>
    <row r="471" ht="22.5" customHeight="1">
      <c r="A471" s="90">
        <v>45870.0</v>
      </c>
      <c r="B471" s="81" t="str">
        <f t="shared" si="1"/>
        <v>2025-08</v>
      </c>
      <c r="C471" s="107">
        <v>2.00056827E8</v>
      </c>
      <c r="D471" s="125" t="str">
        <f>IFERROR(VLOOKUP(C471,produto,2,FALSE), "Produto não encontrado")</f>
        <v>BORRACHA ESCOLAR BRANCA 34X23X8</v>
      </c>
      <c r="E471" s="92" t="s">
        <v>528</v>
      </c>
      <c r="F471" s="93">
        <v>1.0</v>
      </c>
      <c r="G471" s="106" t="s">
        <v>547</v>
      </c>
      <c r="H471" s="97"/>
      <c r="I471" s="86"/>
      <c r="J471" s="88"/>
      <c r="K471" s="88"/>
    </row>
    <row r="472" ht="22.5" customHeight="1">
      <c r="A472" s="90">
        <v>45870.0</v>
      </c>
      <c r="B472" s="81" t="str">
        <f t="shared" si="1"/>
        <v>2025-08</v>
      </c>
      <c r="C472" s="107">
        <v>2.00064766E8</v>
      </c>
      <c r="D472" s="125" t="str">
        <f>IFERROR(VLOOKUP(C472,produto,2,FALSE), "Produto não encontrado")</f>
        <v>PASTA COM ELASTICO LONGA 335 X 245 X 55MM</v>
      </c>
      <c r="E472" s="92" t="s">
        <v>528</v>
      </c>
      <c r="F472" s="93">
        <v>2.0</v>
      </c>
      <c r="G472" s="101"/>
      <c r="H472" s="97"/>
      <c r="I472" s="86"/>
      <c r="J472" s="88"/>
      <c r="K472" s="88"/>
    </row>
    <row r="473" ht="22.5" customHeight="1">
      <c r="A473" s="90">
        <v>45870.0</v>
      </c>
      <c r="B473" s="81" t="str">
        <f t="shared" si="1"/>
        <v>2025-08</v>
      </c>
      <c r="C473" s="107">
        <v>2.00038284E8</v>
      </c>
      <c r="D473" s="125" t="str">
        <f>IFERROR(VLOOKUP(C473,produto,2,FALSE), "Produto não encontrado")</f>
        <v>ABRAÇADEIRA DE NYLON 100X2,5MM</v>
      </c>
      <c r="E473" s="92" t="s">
        <v>528</v>
      </c>
      <c r="F473" s="93">
        <v>1.0</v>
      </c>
      <c r="G473" s="106" t="s">
        <v>547</v>
      </c>
      <c r="H473" s="97"/>
      <c r="I473" s="86"/>
      <c r="J473" s="88"/>
      <c r="K473" s="88"/>
    </row>
    <row r="474" ht="22.5" customHeight="1">
      <c r="A474" s="90">
        <v>45870.0</v>
      </c>
      <c r="B474" s="81" t="str">
        <f t="shared" si="1"/>
        <v>2025-08</v>
      </c>
      <c r="C474" s="107">
        <v>2.00076172E8</v>
      </c>
      <c r="D474" s="125" t="str">
        <f>IFERROR(VLOOKUP(C474,produto,2,FALSE), "Produto não encontrado")</f>
        <v>LUVA DE VINIL G(9) COM 100 UND</v>
      </c>
      <c r="E474" s="92" t="s">
        <v>528</v>
      </c>
      <c r="F474" s="93">
        <v>2.0</v>
      </c>
      <c r="G474" s="101" t="s">
        <v>596</v>
      </c>
      <c r="H474" s="97"/>
      <c r="I474" s="86"/>
      <c r="J474" s="88"/>
      <c r="K474" s="88"/>
    </row>
    <row r="475" ht="22.5" customHeight="1">
      <c r="A475" s="90">
        <v>45869.0</v>
      </c>
      <c r="B475" s="81" t="str">
        <f t="shared" si="1"/>
        <v>2025-07</v>
      </c>
      <c r="C475" s="107">
        <v>2.00000046E8</v>
      </c>
      <c r="D475" s="125" t="str">
        <f>IFERROR(VLOOKUP(C475,produto,2,FALSE), "Produto não encontrado")</f>
        <v>Malha Tubular de Algodão 15cmx15m</v>
      </c>
      <c r="E475" s="92" t="s">
        <v>526</v>
      </c>
      <c r="F475" s="93">
        <v>9.0</v>
      </c>
      <c r="G475" s="101"/>
      <c r="H475" s="97"/>
      <c r="I475" s="86"/>
      <c r="J475" s="88"/>
      <c r="K475" s="88"/>
    </row>
    <row r="476" ht="22.5" customHeight="1">
      <c r="A476" s="90">
        <v>45869.0</v>
      </c>
      <c r="B476" s="81" t="str">
        <f t="shared" si="1"/>
        <v>2025-07</v>
      </c>
      <c r="C476" s="107">
        <v>2.00000045E8</v>
      </c>
      <c r="D476" s="125" t="str">
        <f>IFERROR(VLOOKUP(C476,produto,2,FALSE), "Produto não encontrado")</f>
        <v>Malha Tubular de Algodão 10cm x 15m</v>
      </c>
      <c r="E476" s="92" t="s">
        <v>526</v>
      </c>
      <c r="F476" s="93">
        <v>5.0</v>
      </c>
      <c r="G476" s="101"/>
      <c r="H476" s="97"/>
      <c r="I476" s="86"/>
      <c r="J476" s="88"/>
      <c r="K476" s="88"/>
    </row>
    <row r="477" ht="22.5" customHeight="1">
      <c r="A477" s="90">
        <v>45869.0</v>
      </c>
      <c r="B477" s="81" t="str">
        <f t="shared" si="1"/>
        <v>2025-07</v>
      </c>
      <c r="C477" s="107">
        <v>2.00000044E8</v>
      </c>
      <c r="D477" s="125" t="str">
        <f>IFERROR(VLOOKUP(C477,produto,2,FALSE), "Produto não encontrado")</f>
        <v>CHAPA polipropileno ortopédico natural Medidas 2,000x1000x5mm</v>
      </c>
      <c r="E477" s="92" t="s">
        <v>526</v>
      </c>
      <c r="F477" s="93">
        <v>6.0</v>
      </c>
      <c r="G477" s="101"/>
      <c r="H477" s="97"/>
      <c r="I477" s="86"/>
      <c r="J477" s="88"/>
      <c r="K477" s="88"/>
    </row>
    <row r="478" ht="22.5" customHeight="1">
      <c r="A478" s="90">
        <v>45869.0</v>
      </c>
      <c r="B478" s="81" t="str">
        <f t="shared" si="1"/>
        <v>2025-07</v>
      </c>
      <c r="C478" s="107">
        <v>2.00000043E8</v>
      </c>
      <c r="D478" s="125" t="str">
        <f>IFERROR(VLOOKUP(C478,produto,2,FALSE), "Produto não encontrado")</f>
        <v>CHAPA polipropileno ortopédico natural Medidas 2,000x1000x4mm</v>
      </c>
      <c r="E478" s="92" t="s">
        <v>526</v>
      </c>
      <c r="F478" s="93">
        <v>10.0</v>
      </c>
      <c r="G478" s="101"/>
      <c r="H478" s="97"/>
      <c r="I478" s="86"/>
      <c r="J478" s="88"/>
      <c r="K478" s="88"/>
    </row>
    <row r="479" ht="22.5" customHeight="1">
      <c r="A479" s="90">
        <v>45869.0</v>
      </c>
      <c r="B479" s="81" t="str">
        <f t="shared" si="1"/>
        <v>2025-07</v>
      </c>
      <c r="C479" s="107">
        <v>2.00000042E8</v>
      </c>
      <c r="D479" s="125" t="str">
        <f>IFERROR(VLOOKUP(C479,produto,2,FALSE), "Produto não encontrado")</f>
        <v>CHAPA polipropileno ortopédico natural Medidas 2,000x1000x3mm</v>
      </c>
      <c r="E479" s="92" t="s">
        <v>526</v>
      </c>
      <c r="F479" s="93">
        <v>10.0</v>
      </c>
      <c r="G479" s="101"/>
      <c r="H479" s="97"/>
      <c r="I479" s="86"/>
      <c r="J479" s="88"/>
      <c r="K479" s="88"/>
    </row>
    <row r="480" ht="22.5" customHeight="1">
      <c r="A480" s="90">
        <v>45869.0</v>
      </c>
      <c r="B480" s="81" t="str">
        <f t="shared" si="1"/>
        <v>2025-07</v>
      </c>
      <c r="C480" s="107">
        <v>2.00000065E8</v>
      </c>
      <c r="D480" s="125" t="str">
        <f>IFERROR(VLOOKUP(C480,produto,2,FALSE), "Produto não encontrado")</f>
        <v>ATADURA GESSADA 20cm x 4m, cx com 20 und</v>
      </c>
      <c r="E480" s="92" t="s">
        <v>526</v>
      </c>
      <c r="F480" s="93">
        <v>2.0</v>
      </c>
      <c r="G480" s="101"/>
      <c r="H480" s="97"/>
      <c r="I480" s="86"/>
      <c r="J480" s="88"/>
      <c r="K480" s="88"/>
    </row>
    <row r="481" ht="22.5" customHeight="1">
      <c r="A481" s="90">
        <v>45869.0</v>
      </c>
      <c r="B481" s="81" t="str">
        <f t="shared" si="1"/>
        <v>2025-07</v>
      </c>
      <c r="C481" s="107">
        <v>2.0000004E8</v>
      </c>
      <c r="D481" s="125" t="str">
        <f>IFERROR(VLOOKUP(C481,produto,2,FALSE), "Produto não encontrado")</f>
        <v>ATADURA GESSADA 10cm x 3m, cx com 20 und</v>
      </c>
      <c r="E481" s="92" t="s">
        <v>526</v>
      </c>
      <c r="F481" s="93">
        <v>2.0</v>
      </c>
      <c r="G481" s="101"/>
      <c r="H481" s="97"/>
      <c r="I481" s="86"/>
      <c r="J481" s="88"/>
      <c r="K481" s="88"/>
    </row>
    <row r="482" ht="22.5" customHeight="1">
      <c r="A482" s="90">
        <v>45866.0</v>
      </c>
      <c r="B482" s="81" t="str">
        <f t="shared" si="1"/>
        <v>2025-07</v>
      </c>
      <c r="C482" s="107">
        <v>2.00036189E8</v>
      </c>
      <c r="D482" s="125" t="str">
        <f>IFERROR(VLOOKUP(C482,produto,2,FALSE), "Produto não encontrado")</f>
        <v>COPO DESCARTAVEL 180ML</v>
      </c>
      <c r="E482" s="92" t="s">
        <v>528</v>
      </c>
      <c r="F482" s="93">
        <v>1.0</v>
      </c>
      <c r="G482" s="101" t="s">
        <v>586</v>
      </c>
      <c r="H482" s="97"/>
      <c r="I482" s="86"/>
      <c r="J482" s="88"/>
      <c r="K482" s="88"/>
    </row>
    <row r="483" ht="22.5" customHeight="1">
      <c r="A483" s="90">
        <v>45866.0</v>
      </c>
      <c r="B483" s="81" t="str">
        <f t="shared" si="1"/>
        <v>2025-07</v>
      </c>
      <c r="C483" s="107">
        <v>2.0000424E8</v>
      </c>
      <c r="D483" s="125" t="str">
        <f>IFERROR(VLOOKUP(C483,produto,2,FALSE), "Produto não encontrado")</f>
        <v>INJETADO FECHO REGULADOR 50MM</v>
      </c>
      <c r="E483" s="92" t="s">
        <v>528</v>
      </c>
      <c r="F483" s="93">
        <v>1.0</v>
      </c>
      <c r="G483" s="106" t="s">
        <v>568</v>
      </c>
      <c r="H483" s="97"/>
      <c r="I483" s="86"/>
      <c r="J483" s="88"/>
      <c r="K483" s="88"/>
    </row>
    <row r="484" ht="22.5" customHeight="1">
      <c r="A484" s="90">
        <v>45866.0</v>
      </c>
      <c r="B484" s="81" t="str">
        <f t="shared" si="1"/>
        <v>2025-07</v>
      </c>
      <c r="C484" s="107">
        <v>2.00004226E8</v>
      </c>
      <c r="D484" s="125" t="str">
        <f>IFERROR(VLOOKUP(C484,produto,2,FALSE), "Produto não encontrado")</f>
        <v>INJETADO FECHO ENGATE 50MM</v>
      </c>
      <c r="E484" s="92" t="s">
        <v>528</v>
      </c>
      <c r="F484" s="93">
        <v>1.0</v>
      </c>
      <c r="G484" s="106" t="s">
        <v>568</v>
      </c>
      <c r="H484" s="97"/>
      <c r="I484" s="86"/>
      <c r="J484" s="88"/>
      <c r="K484" s="88"/>
    </row>
    <row r="485" ht="22.5" customHeight="1">
      <c r="A485" s="90">
        <v>45862.0</v>
      </c>
      <c r="B485" s="81" t="str">
        <f t="shared" si="1"/>
        <v>2025-07</v>
      </c>
      <c r="C485" s="107">
        <v>2.00085594E8</v>
      </c>
      <c r="D485" s="125" t="str">
        <f>IFERROR(VLOOKUP(C485,produto,2,FALSE), "Produto não encontrado")</f>
        <v>PLACA PROTETOR PROTESE DE JOELHO EM EVA 5MM</v>
      </c>
      <c r="E485" s="92" t="s">
        <v>526</v>
      </c>
      <c r="F485" s="93">
        <v>100.0</v>
      </c>
      <c r="G485" s="101"/>
      <c r="H485" s="97"/>
      <c r="I485" s="86"/>
      <c r="J485" s="88"/>
      <c r="K485" s="88"/>
    </row>
    <row r="486" ht="22.5" customHeight="1">
      <c r="A486" s="90">
        <v>45862.0</v>
      </c>
      <c r="B486" s="81" t="str">
        <f t="shared" si="1"/>
        <v>2025-07</v>
      </c>
      <c r="C486" s="107">
        <v>2.00033068E8</v>
      </c>
      <c r="D486" s="125" t="str">
        <f>IFERROR(VLOOKUP(C486,produto,2,FALSE), "Produto não encontrado")</f>
        <v> PAPEL SULFITE A4 210 X 297MM 75G BRANCO MULTIUSO PACOTE COM 500 FLS</v>
      </c>
      <c r="E486" s="92" t="s">
        <v>528</v>
      </c>
      <c r="F486" s="93">
        <v>1.0</v>
      </c>
      <c r="G486" s="101" t="s">
        <v>586</v>
      </c>
      <c r="H486" s="97"/>
      <c r="I486" s="86"/>
      <c r="J486" s="88"/>
      <c r="K486" s="88"/>
    </row>
    <row r="487" ht="22.5" customHeight="1">
      <c r="A487" s="90">
        <v>45862.0</v>
      </c>
      <c r="B487" s="81" t="str">
        <f t="shared" si="1"/>
        <v>2025-07</v>
      </c>
      <c r="C487" s="107">
        <v>2.0007495E8</v>
      </c>
      <c r="D487" s="125" t="str">
        <f>IFERROR(VLOOKUP(C487,produto,2,FALSE), "Produto não encontrado")</f>
        <v>PILHA ALCALINA AA 1,5V COM 4 UNIDADES</v>
      </c>
      <c r="E487" s="92" t="s">
        <v>528</v>
      </c>
      <c r="F487" s="93">
        <v>2.0</v>
      </c>
      <c r="G487" s="101"/>
      <c r="H487" s="97"/>
      <c r="I487" s="86"/>
      <c r="J487" s="88"/>
      <c r="K487" s="88"/>
    </row>
    <row r="488" ht="22.5" customHeight="1">
      <c r="A488" s="90">
        <v>45862.0</v>
      </c>
      <c r="B488" s="81" t="str">
        <f t="shared" si="1"/>
        <v>2025-07</v>
      </c>
      <c r="C488" s="107">
        <v>2.0007495E8</v>
      </c>
      <c r="D488" s="125" t="str">
        <f>IFERROR(VLOOKUP(C488,produto,2,FALSE), "Produto não encontrado")</f>
        <v>PILHA ALCALINA AA 1,5V COM 4 UNIDADES</v>
      </c>
      <c r="E488" s="92" t="s">
        <v>526</v>
      </c>
      <c r="F488" s="93">
        <v>8.0</v>
      </c>
      <c r="G488" s="101"/>
      <c r="H488" s="97"/>
      <c r="I488" s="86"/>
      <c r="J488" s="88"/>
      <c r="K488" s="88"/>
    </row>
    <row r="489" ht="22.5" customHeight="1">
      <c r="A489" s="90">
        <v>45859.0</v>
      </c>
      <c r="B489" s="81" t="str">
        <f t="shared" si="1"/>
        <v>2025-07</v>
      </c>
      <c r="C489" s="107">
        <v>2.00036189E8</v>
      </c>
      <c r="D489" s="125" t="str">
        <f>IFERROR(VLOOKUP(C489,produto,2,FALSE), "Produto não encontrado")</f>
        <v>COPO DESCARTAVEL 180ML</v>
      </c>
      <c r="E489" s="92" t="s">
        <v>528</v>
      </c>
      <c r="F489" s="93">
        <v>1.0</v>
      </c>
      <c r="G489" s="101"/>
      <c r="H489" s="97"/>
      <c r="I489" s="86"/>
      <c r="J489" s="88"/>
      <c r="K489" s="88"/>
    </row>
    <row r="490" ht="22.5" customHeight="1">
      <c r="A490" s="90">
        <v>45853.0</v>
      </c>
      <c r="B490" s="81" t="str">
        <f t="shared" si="1"/>
        <v>2025-07</v>
      </c>
      <c r="C490" s="107">
        <v>2.00004223E8</v>
      </c>
      <c r="D490" s="125" t="str">
        <f>IFERROR(VLOOKUP(C490,produto,2,FALSE), "Produto não encontrado")</f>
        <v>INJETADO FECHO ENGATE 25MM</v>
      </c>
      <c r="E490" s="92" t="s">
        <v>528</v>
      </c>
      <c r="F490" s="93">
        <v>12.0</v>
      </c>
      <c r="G490" s="101" t="s">
        <v>597</v>
      </c>
      <c r="H490" s="97"/>
      <c r="I490" s="86"/>
      <c r="J490" s="88"/>
      <c r="K490" s="88"/>
    </row>
    <row r="491" ht="22.5" customHeight="1">
      <c r="A491" s="90">
        <v>45853.0</v>
      </c>
      <c r="B491" s="81" t="str">
        <f t="shared" si="1"/>
        <v>2025-07</v>
      </c>
      <c r="C491" s="107">
        <v>2.00038199E8</v>
      </c>
      <c r="D491" s="125" t="str">
        <f>IFERROR(VLOOKUP(C491,produto,2,FALSE), "Produto não encontrado")</f>
        <v>CANETA MARCADOR PERMANENTE PONTA GROSSA PRETO</v>
      </c>
      <c r="E491" s="92" t="s">
        <v>526</v>
      </c>
      <c r="F491" s="93">
        <v>1.0</v>
      </c>
      <c r="G491" s="101"/>
      <c r="H491" s="97"/>
      <c r="I491" s="86"/>
      <c r="J491" s="88"/>
      <c r="K491" s="88"/>
    </row>
    <row r="492" ht="22.5" customHeight="1">
      <c r="A492" s="90">
        <v>45852.0</v>
      </c>
      <c r="B492" s="81" t="str">
        <f t="shared" si="1"/>
        <v>2025-07</v>
      </c>
      <c r="C492" s="107">
        <v>2.00036488E8</v>
      </c>
      <c r="D492" s="125" t="str">
        <f>IFERROR(VLOOKUP(C492,produto,2,FALSE), "Produto não encontrado")</f>
        <v>CANETA MARCADOR PERMANENTE PONTA 2.0mm</v>
      </c>
      <c r="E492" s="92" t="s">
        <v>528</v>
      </c>
      <c r="F492" s="93">
        <v>1.0</v>
      </c>
      <c r="G492" s="101"/>
      <c r="H492" s="97"/>
      <c r="I492" s="86"/>
      <c r="J492" s="88"/>
      <c r="K492" s="88"/>
    </row>
    <row r="493" ht="22.5" customHeight="1">
      <c r="A493" s="90">
        <v>45852.0</v>
      </c>
      <c r="B493" s="81" t="str">
        <f t="shared" si="1"/>
        <v>2025-07</v>
      </c>
      <c r="C493" s="107">
        <v>2.0003649E8</v>
      </c>
      <c r="D493" s="125" t="str">
        <f>IFERROR(VLOOKUP(C493,produto,2,FALSE), "Produto não encontrado")</f>
        <v>CLIPS NIQUELADO Nº 2 COM 100 UN</v>
      </c>
      <c r="E493" s="92" t="s">
        <v>528</v>
      </c>
      <c r="F493" s="93">
        <v>3.0</v>
      </c>
      <c r="G493" s="101" t="s">
        <v>579</v>
      </c>
      <c r="H493" s="97"/>
      <c r="I493" s="86"/>
      <c r="J493" s="88"/>
      <c r="K493" s="88"/>
    </row>
    <row r="494" ht="22.5" customHeight="1">
      <c r="A494" s="90">
        <v>45847.0</v>
      </c>
      <c r="B494" s="81" t="str">
        <f t="shared" si="1"/>
        <v>2025-07</v>
      </c>
      <c r="C494" s="107">
        <v>2.00062843E8</v>
      </c>
      <c r="D494" s="125" t="str">
        <f>IFERROR(VLOOKUP(C494,produto,2,FALSE), "Produto não encontrado")</f>
        <v>PILHA ALCALINA PALITO - AAA - LR03 04UN</v>
      </c>
      <c r="E494" s="92" t="s">
        <v>528</v>
      </c>
      <c r="F494" s="93">
        <v>1.0</v>
      </c>
      <c r="G494" s="101" t="s">
        <v>586</v>
      </c>
      <c r="H494" s="97"/>
      <c r="I494" s="86"/>
      <c r="J494" s="88"/>
      <c r="K494" s="88"/>
    </row>
    <row r="495" ht="22.5" customHeight="1">
      <c r="A495" s="90">
        <v>45846.0</v>
      </c>
      <c r="B495" s="81" t="str">
        <f t="shared" si="1"/>
        <v>2025-07</v>
      </c>
      <c r="C495" s="107">
        <v>2.00033068E8</v>
      </c>
      <c r="D495" s="125" t="str">
        <f>IFERROR(VLOOKUP(C495,produto,2,FALSE), "Produto não encontrado")</f>
        <v> PAPEL SULFITE A4 210 X 297MM 75G BRANCO MULTIUSO PACOTE COM 500 FLS</v>
      </c>
      <c r="E495" s="92" t="s">
        <v>528</v>
      </c>
      <c r="F495" s="93">
        <v>1.0</v>
      </c>
      <c r="G495" s="101" t="s">
        <v>586</v>
      </c>
      <c r="H495" s="97"/>
      <c r="I495" s="86"/>
      <c r="J495" s="88"/>
      <c r="K495" s="88"/>
    </row>
    <row r="496" ht="22.5" customHeight="1">
      <c r="A496" s="90">
        <v>45842.0</v>
      </c>
      <c r="B496" s="81" t="str">
        <f t="shared" si="1"/>
        <v>2025-07</v>
      </c>
      <c r="C496" s="107">
        <v>2.0004416E8</v>
      </c>
      <c r="D496" s="125" t="str">
        <f>IFERROR(VLOOKUP(C496,produto,2,FALSE), "Produto não encontrado")</f>
        <v>DESENGRIPANTE SPRAY 300ML</v>
      </c>
      <c r="E496" s="92" t="s">
        <v>528</v>
      </c>
      <c r="F496" s="93">
        <v>1.0</v>
      </c>
      <c r="G496" s="106" t="s">
        <v>571</v>
      </c>
      <c r="H496" s="97"/>
      <c r="I496" s="86"/>
      <c r="J496" s="88"/>
      <c r="K496" s="88"/>
    </row>
    <row r="497" ht="22.5" customHeight="1">
      <c r="A497" s="90">
        <v>45842.0</v>
      </c>
      <c r="B497" s="81" t="str">
        <f t="shared" si="1"/>
        <v>2025-07</v>
      </c>
      <c r="C497" s="107">
        <v>2.00000038E8</v>
      </c>
      <c r="D497" s="125" t="str">
        <f>IFERROR(VLOOKUP(C497,produto,2,FALSE), "Produto não encontrado")</f>
        <v>PASSANTE FERRO NIQUEL(NIVELADOR) 25MM</v>
      </c>
      <c r="E497" s="92" t="s">
        <v>528</v>
      </c>
      <c r="F497" s="93">
        <v>2.0</v>
      </c>
      <c r="G497" s="106" t="s">
        <v>575</v>
      </c>
      <c r="H497" s="97"/>
      <c r="I497" s="86"/>
      <c r="J497" s="88"/>
      <c r="K497" s="88"/>
    </row>
    <row r="498" ht="22.5" customHeight="1">
      <c r="A498" s="90">
        <v>45841.0</v>
      </c>
      <c r="B498" s="81" t="str">
        <f t="shared" si="1"/>
        <v>2025-07</v>
      </c>
      <c r="C498" s="107">
        <v>2.00085185E8</v>
      </c>
      <c r="D498" s="125" t="str">
        <f>IFERROR(VLOOKUP(C498,produto,2,FALSE), "Produto não encontrado")</f>
        <v>ESPARADRAPO IMPERMEAVEL 5CM X 4,5M</v>
      </c>
      <c r="E498" s="92" t="s">
        <v>526</v>
      </c>
      <c r="F498" s="93">
        <v>2.0</v>
      </c>
      <c r="G498" s="101" t="s">
        <v>11</v>
      </c>
      <c r="H498" s="97"/>
      <c r="I498" s="86"/>
      <c r="J498" s="88"/>
      <c r="K498" s="88"/>
    </row>
    <row r="499" ht="22.5" customHeight="1">
      <c r="A499" s="90">
        <v>45841.0</v>
      </c>
      <c r="B499" s="81" t="str">
        <f t="shared" si="1"/>
        <v>2025-07</v>
      </c>
      <c r="C499" s="107">
        <v>2.00082939E8</v>
      </c>
      <c r="D499" s="125" t="str">
        <f>IFERROR(VLOOKUP(C499,produto,2,FALSE), "Produto não encontrado")</f>
        <v> BLOCO DE PAPEL AUTO ADESIVO POST IT 38X50MM 100 FOLHAS</v>
      </c>
      <c r="E499" s="92" t="s">
        <v>526</v>
      </c>
      <c r="F499" s="93">
        <v>2.0</v>
      </c>
      <c r="G499" s="101" t="s">
        <v>11</v>
      </c>
      <c r="H499" s="97"/>
      <c r="I499" s="86"/>
      <c r="J499" s="88"/>
      <c r="K499" s="88"/>
    </row>
    <row r="500" ht="22.5" customHeight="1">
      <c r="A500" s="90">
        <v>45841.0</v>
      </c>
      <c r="B500" s="81" t="str">
        <f t="shared" si="1"/>
        <v>2025-07</v>
      </c>
      <c r="C500" s="107">
        <v>2.0008183E8</v>
      </c>
      <c r="D500" s="125" t="str">
        <f>IFERROR(VLOOKUP(C500,produto,2,FALSE), "Produto não encontrado")</f>
        <v>BLOCO DE ANOTAÇÃO AUTOADESIVO 76 X 102 MM COM 100 FOLHAS</v>
      </c>
      <c r="E500" s="92" t="s">
        <v>526</v>
      </c>
      <c r="F500" s="93">
        <v>2.0</v>
      </c>
      <c r="G500" s="101" t="s">
        <v>11</v>
      </c>
      <c r="H500" s="97"/>
      <c r="I500" s="86"/>
      <c r="J500" s="88"/>
      <c r="K500" s="88"/>
    </row>
    <row r="501" ht="22.5" customHeight="1">
      <c r="A501" s="90">
        <v>45841.0</v>
      </c>
      <c r="B501" s="81" t="str">
        <f t="shared" si="1"/>
        <v>2025-07</v>
      </c>
      <c r="C501" s="107">
        <v>2.00069551E8</v>
      </c>
      <c r="D501" s="125" t="str">
        <f>IFERROR(VLOOKUP(C501,produto,2,FALSE), "Produto não encontrado")</f>
        <v>ALFINETE MARCADOR DE MAPA 8MM TIPO BOLA EM PLASTICO 50UN</v>
      </c>
      <c r="E501" s="92" t="s">
        <v>526</v>
      </c>
      <c r="F501" s="93">
        <v>2.0</v>
      </c>
      <c r="G501" s="101" t="s">
        <v>11</v>
      </c>
      <c r="H501" s="97"/>
      <c r="I501" s="86"/>
      <c r="J501" s="88"/>
      <c r="K501" s="88"/>
    </row>
    <row r="502" ht="22.5" customHeight="1">
      <c r="A502" s="90">
        <v>45841.0</v>
      </c>
      <c r="B502" s="81" t="str">
        <f t="shared" si="1"/>
        <v>2025-07</v>
      </c>
      <c r="C502" s="107">
        <v>2.00062977E8</v>
      </c>
      <c r="D502" s="125" t="str">
        <f>IFERROR(VLOOKUP(C502,produto,2,FALSE), "Produto não encontrado")</f>
        <v>TINTA PARA CARIMBO COR AZUL DE 40ML</v>
      </c>
      <c r="E502" s="92" t="s">
        <v>526</v>
      </c>
      <c r="F502" s="93">
        <v>2.0</v>
      </c>
      <c r="G502" s="101" t="s">
        <v>11</v>
      </c>
      <c r="H502" s="97"/>
      <c r="I502" s="86"/>
      <c r="J502" s="88"/>
      <c r="K502" s="88"/>
    </row>
    <row r="503" ht="22.5" customHeight="1">
      <c r="A503" s="90">
        <v>45841.0</v>
      </c>
      <c r="B503" s="81" t="str">
        <f t="shared" si="1"/>
        <v>2025-07</v>
      </c>
      <c r="C503" s="107">
        <v>2.00062843E8</v>
      </c>
      <c r="D503" s="125" t="str">
        <f>IFERROR(VLOOKUP(C503,produto,2,FALSE), "Produto não encontrado")</f>
        <v>PILHA ALCALINA PALITO - AAA - LR03 04UN</v>
      </c>
      <c r="E503" s="92" t="s">
        <v>526</v>
      </c>
      <c r="F503" s="93">
        <v>3.0</v>
      </c>
      <c r="G503" s="101" t="s">
        <v>11</v>
      </c>
      <c r="H503" s="97"/>
      <c r="I503" s="86"/>
      <c r="J503" s="88"/>
      <c r="K503" s="88"/>
    </row>
    <row r="504" ht="22.5" customHeight="1">
      <c r="A504" s="90">
        <v>45841.0</v>
      </c>
      <c r="B504" s="81" t="str">
        <f t="shared" si="1"/>
        <v>2025-07</v>
      </c>
      <c r="C504" s="107">
        <v>2.00061185E8</v>
      </c>
      <c r="D504" s="125" t="str">
        <f>IFERROR(VLOOKUP(C504,produto,2,FALSE), "Produto não encontrado")</f>
        <v>LAMINA PARA ESTILETE ESTREITO DE 18CM</v>
      </c>
      <c r="E504" s="92" t="s">
        <v>526</v>
      </c>
      <c r="F504" s="93">
        <v>1.0</v>
      </c>
      <c r="G504" s="101" t="s">
        <v>11</v>
      </c>
      <c r="H504" s="97"/>
      <c r="I504" s="86"/>
      <c r="J504" s="88"/>
      <c r="K504" s="88"/>
    </row>
    <row r="505" ht="22.5" customHeight="1">
      <c r="A505" s="90">
        <v>45841.0</v>
      </c>
      <c r="B505" s="81" t="str">
        <f t="shared" si="1"/>
        <v>2025-07</v>
      </c>
      <c r="C505" s="107">
        <v>2.00058015E8</v>
      </c>
      <c r="D505" s="125" t="str">
        <f>IFERROR(VLOOKUP(C505,produto,2,FALSE), "Produto não encontrado")</f>
        <v>KNESIO - FITA DE CINESIOLOGIA ROLO COM 5CM X 5M</v>
      </c>
      <c r="E505" s="92" t="s">
        <v>526</v>
      </c>
      <c r="F505" s="93">
        <v>2.0</v>
      </c>
      <c r="G505" s="101" t="s">
        <v>11</v>
      </c>
      <c r="H505" s="97"/>
      <c r="I505" s="86"/>
      <c r="J505" s="88"/>
      <c r="K505" s="88"/>
    </row>
    <row r="506" ht="22.5" customHeight="1">
      <c r="A506" s="90">
        <v>45841.0</v>
      </c>
      <c r="B506" s="81" t="str">
        <f t="shared" si="1"/>
        <v>2025-07</v>
      </c>
      <c r="C506" s="107">
        <v>2.00052414E8</v>
      </c>
      <c r="D506" s="125" t="str">
        <f>IFERROR(VLOOKUP(C506,produto,2,FALSE), "Produto não encontrado")</f>
        <v>LUVA LATEX M(8) COM 100 UND</v>
      </c>
      <c r="E506" s="92" t="s">
        <v>526</v>
      </c>
      <c r="F506" s="93">
        <v>1.0</v>
      </c>
      <c r="G506" s="101" t="s">
        <v>11</v>
      </c>
      <c r="H506" s="97"/>
      <c r="I506" s="86"/>
      <c r="J506" s="88"/>
      <c r="K506" s="88"/>
    </row>
    <row r="507" ht="22.5" customHeight="1">
      <c r="A507" s="90">
        <v>45841.0</v>
      </c>
      <c r="B507" s="81" t="str">
        <f t="shared" si="1"/>
        <v>2025-07</v>
      </c>
      <c r="C507" s="107">
        <v>2.00036656E8</v>
      </c>
      <c r="D507" s="125" t="str">
        <f>IFERROR(VLOOKUP(C507,produto,2,FALSE), "Produto não encontrado")</f>
        <v>FITA ADESIVA TRANSPARENTE 45MM X 50M</v>
      </c>
      <c r="E507" s="92" t="s">
        <v>526</v>
      </c>
      <c r="F507" s="93">
        <v>2.0</v>
      </c>
      <c r="G507" s="101" t="s">
        <v>11</v>
      </c>
      <c r="H507" s="97"/>
      <c r="I507" s="86"/>
      <c r="J507" s="88"/>
      <c r="K507" s="88"/>
    </row>
    <row r="508" ht="22.5" customHeight="1">
      <c r="A508" s="90">
        <v>45841.0</v>
      </c>
      <c r="B508" s="81" t="str">
        <f t="shared" si="1"/>
        <v>2025-07</v>
      </c>
      <c r="C508" s="107">
        <v>2.00036189E8</v>
      </c>
      <c r="D508" s="125" t="str">
        <f>IFERROR(VLOOKUP(C508,produto,2,FALSE), "Produto não encontrado")</f>
        <v>COPO DESCARTAVEL 180ML</v>
      </c>
      <c r="E508" s="92" t="s">
        <v>526</v>
      </c>
      <c r="F508" s="93">
        <v>3.0</v>
      </c>
      <c r="G508" s="101" t="s">
        <v>11</v>
      </c>
      <c r="H508" s="97"/>
      <c r="I508" s="86"/>
      <c r="J508" s="88"/>
      <c r="K508" s="88"/>
    </row>
    <row r="509" ht="22.5" customHeight="1">
      <c r="A509" s="90">
        <v>45840.0</v>
      </c>
      <c r="B509" s="81" t="str">
        <f t="shared" si="1"/>
        <v>2025-07</v>
      </c>
      <c r="C509" s="107">
        <v>2.00000039E8</v>
      </c>
      <c r="D509" s="125" t="str">
        <f>IFERROR(VLOOKUP(C509,produto,2,FALSE), "Produto não encontrado")</f>
        <v>PASSADOR OVAL FERRO (NIVELADOR)  50MM</v>
      </c>
      <c r="E509" s="92" t="s">
        <v>528</v>
      </c>
      <c r="F509" s="93">
        <v>2.0</v>
      </c>
      <c r="G509" s="101" t="s">
        <v>597</v>
      </c>
      <c r="H509" s="97"/>
      <c r="I509" s="86"/>
      <c r="J509" s="88"/>
      <c r="K509" s="88"/>
    </row>
    <row r="510" ht="22.5" customHeight="1">
      <c r="A510" s="90">
        <v>45840.0</v>
      </c>
      <c r="B510" s="81" t="str">
        <f t="shared" si="1"/>
        <v>2025-07</v>
      </c>
      <c r="C510" s="107">
        <v>2.00000038E8</v>
      </c>
      <c r="D510" s="125" t="str">
        <f>IFERROR(VLOOKUP(C510,produto,2,FALSE), "Produto não encontrado")</f>
        <v>PASSANTE FERRO NIQUEL(NIVELADOR) 25MM</v>
      </c>
      <c r="E510" s="92" t="s">
        <v>528</v>
      </c>
      <c r="F510" s="93">
        <v>2.0</v>
      </c>
      <c r="G510" s="101" t="s">
        <v>597</v>
      </c>
      <c r="H510" s="97"/>
      <c r="I510" s="86"/>
      <c r="J510" s="88"/>
      <c r="K510" s="88"/>
    </row>
    <row r="511" ht="22.5" customHeight="1">
      <c r="A511" s="90">
        <v>45840.0</v>
      </c>
      <c r="B511" s="81" t="str">
        <f t="shared" si="1"/>
        <v>2025-07</v>
      </c>
      <c r="C511" s="107">
        <v>2.00036416E8</v>
      </c>
      <c r="D511" s="125" t="str">
        <f>IFERROR(VLOOKUP(C511,produto,2,FALSE), "Produto não encontrado")</f>
        <v>COLA BRANCA PVA EMBALAGEM DE 1KG</v>
      </c>
      <c r="E511" s="92" t="s">
        <v>528</v>
      </c>
      <c r="F511" s="93">
        <v>1.0</v>
      </c>
      <c r="G511" s="101"/>
      <c r="H511" s="97"/>
      <c r="I511" s="86"/>
      <c r="J511" s="88"/>
      <c r="K511" s="88"/>
    </row>
    <row r="512" ht="22.5" customHeight="1">
      <c r="A512" s="90">
        <v>45839.0</v>
      </c>
      <c r="B512" s="81" t="str">
        <f t="shared" si="1"/>
        <v>2025-07</v>
      </c>
      <c r="C512" s="107">
        <v>2.00036189E8</v>
      </c>
      <c r="D512" s="125" t="str">
        <f>IFERROR(VLOOKUP(C512,produto,2,FALSE), "Produto não encontrado")</f>
        <v>COPO DESCARTAVEL 180ML</v>
      </c>
      <c r="E512" s="92" t="s">
        <v>528</v>
      </c>
      <c r="F512" s="93">
        <v>1.0</v>
      </c>
      <c r="G512" s="101"/>
      <c r="H512" s="97"/>
      <c r="I512" s="86"/>
      <c r="J512" s="88"/>
      <c r="K512" s="88"/>
    </row>
    <row r="513" ht="22.5" customHeight="1">
      <c r="A513" s="90">
        <v>45839.0</v>
      </c>
      <c r="B513" s="81" t="str">
        <f t="shared" si="1"/>
        <v>2025-07</v>
      </c>
      <c r="C513" s="107">
        <v>2.00000039E8</v>
      </c>
      <c r="D513" s="125" t="str">
        <f>IFERROR(VLOOKUP(C513,produto,2,FALSE), "Produto não encontrado")</f>
        <v>PASSADOR OVAL FERRO (NIVELADOR)  50MM</v>
      </c>
      <c r="E513" s="92" t="s">
        <v>526</v>
      </c>
      <c r="F513" s="93">
        <v>100.0</v>
      </c>
      <c r="G513" s="101"/>
      <c r="H513" s="97"/>
      <c r="I513" s="86"/>
      <c r="J513" s="88"/>
      <c r="K513" s="88"/>
    </row>
    <row r="514" ht="22.5" customHeight="1">
      <c r="A514" s="90">
        <v>45839.0</v>
      </c>
      <c r="B514" s="81" t="str">
        <f t="shared" si="1"/>
        <v>2025-07</v>
      </c>
      <c r="C514" s="107">
        <v>2.00000038E8</v>
      </c>
      <c r="D514" s="125" t="str">
        <f>IFERROR(VLOOKUP(C514,produto,2,FALSE), "Produto não encontrado")</f>
        <v>PASSANTE FERRO NIQUEL(NIVELADOR) 25MM</v>
      </c>
      <c r="E514" s="92" t="s">
        <v>526</v>
      </c>
      <c r="F514" s="93">
        <v>200.0</v>
      </c>
      <c r="G514" s="101"/>
      <c r="H514" s="97"/>
      <c r="I514" s="86"/>
      <c r="J514" s="88"/>
      <c r="K514" s="88"/>
    </row>
    <row r="515" ht="22.5" customHeight="1">
      <c r="A515" s="90">
        <v>45839.0</v>
      </c>
      <c r="B515" s="81" t="str">
        <f t="shared" si="1"/>
        <v>2025-07</v>
      </c>
      <c r="C515" s="107">
        <v>2.00000037E8</v>
      </c>
      <c r="D515" s="125" t="str">
        <f>IFERROR(VLOOKUP(C515,produto,2,FALSE), "Produto não encontrado")</f>
        <v>PAPEL TRANSFER SUBLIMÁTICO  FEMININO</v>
      </c>
      <c r="E515" s="92" t="s">
        <v>526</v>
      </c>
      <c r="F515" s="93">
        <v>28.0</v>
      </c>
      <c r="G515" s="101"/>
      <c r="H515" s="97"/>
      <c r="I515" s="86"/>
      <c r="J515" s="88"/>
      <c r="K515" s="88"/>
    </row>
    <row r="516" ht="22.5" customHeight="1">
      <c r="A516" s="90">
        <v>45839.0</v>
      </c>
      <c r="B516" s="81" t="str">
        <f t="shared" si="1"/>
        <v>2025-07</v>
      </c>
      <c r="C516" s="107">
        <v>2.00000036E8</v>
      </c>
      <c r="D516" s="125" t="str">
        <f>IFERROR(VLOOKUP(C516,produto,2,FALSE), "Produto não encontrado")</f>
        <v>PAPEL TRANSFER SUBLIMÁTICO  MASCULINO</v>
      </c>
      <c r="E516" s="92" t="s">
        <v>526</v>
      </c>
      <c r="F516" s="93">
        <v>17.0</v>
      </c>
      <c r="G516" s="101"/>
      <c r="H516" s="97"/>
      <c r="I516" s="86"/>
      <c r="J516" s="88"/>
      <c r="K516" s="88"/>
    </row>
    <row r="517" ht="22.5" customHeight="1">
      <c r="A517" s="90">
        <v>45839.0</v>
      </c>
      <c r="B517" s="81" t="str">
        <f t="shared" si="1"/>
        <v>2025-07</v>
      </c>
      <c r="C517" s="107">
        <v>2.00000035E8</v>
      </c>
      <c r="D517" s="125" t="str">
        <f>IFERROR(VLOOKUP(C517,produto,2,FALSE), "Produto não encontrado")</f>
        <v>PAPEL TRANSFER SUBLIMÁTICO  NEUTRO</v>
      </c>
      <c r="E517" s="92" t="s">
        <v>526</v>
      </c>
      <c r="F517" s="93">
        <v>25.0</v>
      </c>
      <c r="G517" s="101"/>
      <c r="H517" s="97"/>
      <c r="I517" s="86"/>
      <c r="J517" s="88"/>
      <c r="K517" s="88"/>
    </row>
    <row r="518" ht="22.5" customHeight="1">
      <c r="A518" s="90">
        <v>45826.0</v>
      </c>
      <c r="B518" s="81" t="str">
        <f t="shared" si="1"/>
        <v>2025-06</v>
      </c>
      <c r="C518" s="107">
        <v>2.00000029E8</v>
      </c>
      <c r="D518" s="125" t="str">
        <f>IFERROR(VLOOKUP(C518,produto,2,FALSE), "Produto não encontrado")</f>
        <v>TUBO GALV. 3/4 1,55MM 6M</v>
      </c>
      <c r="E518" s="92" t="s">
        <v>528</v>
      </c>
      <c r="F518" s="93">
        <v>1.0</v>
      </c>
      <c r="G518" s="101"/>
      <c r="H518" s="97"/>
      <c r="I518" s="86"/>
      <c r="J518" s="88"/>
      <c r="K518" s="88"/>
    </row>
    <row r="519" ht="22.5" customHeight="1">
      <c r="A519" s="90">
        <v>45826.0</v>
      </c>
      <c r="B519" s="81" t="str">
        <f t="shared" si="1"/>
        <v>2025-06</v>
      </c>
      <c r="C519" s="107">
        <v>2.00036189E8</v>
      </c>
      <c r="D519" s="125" t="str">
        <f>IFERROR(VLOOKUP(C519,produto,2,FALSE), "Produto não encontrado")</f>
        <v>COPO DESCARTAVEL 180ML</v>
      </c>
      <c r="E519" s="92" t="s">
        <v>528</v>
      </c>
      <c r="F519" s="93">
        <v>1.0</v>
      </c>
      <c r="G519" s="101"/>
      <c r="H519" s="97"/>
      <c r="I519" s="86"/>
      <c r="J519" s="88"/>
      <c r="K519" s="88"/>
    </row>
    <row r="520" ht="22.5" customHeight="1">
      <c r="A520" s="90">
        <v>45826.0</v>
      </c>
      <c r="B520" s="81" t="str">
        <f t="shared" si="1"/>
        <v>2025-06</v>
      </c>
      <c r="C520" s="107">
        <v>2.00036752E8</v>
      </c>
      <c r="D520" s="125" t="str">
        <f>IFERROR(VLOOKUP(C520,produto,2,FALSE), "Produto não encontrado")</f>
        <v>ALCOOL 1LT</v>
      </c>
      <c r="E520" s="92" t="s">
        <v>528</v>
      </c>
      <c r="F520" s="93">
        <v>1.0</v>
      </c>
      <c r="G520" s="106" t="s">
        <v>571</v>
      </c>
      <c r="H520" s="97"/>
      <c r="I520" s="86"/>
      <c r="J520" s="88"/>
      <c r="K520" s="88"/>
    </row>
    <row r="521" ht="22.5" customHeight="1">
      <c r="A521" s="90">
        <v>45826.0</v>
      </c>
      <c r="B521" s="81" t="str">
        <f t="shared" si="1"/>
        <v>2025-06</v>
      </c>
      <c r="C521" s="107">
        <v>2.00036733E8</v>
      </c>
      <c r="D521" s="125" t="str">
        <f>IFERROR(VLOOKUP(C521,produto,2,FALSE), "Produto não encontrado")</f>
        <v> CANETA MARCA TEXTO PLASTICA COR AMARELO</v>
      </c>
      <c r="E521" s="92" t="s">
        <v>528</v>
      </c>
      <c r="F521" s="93">
        <v>1.0</v>
      </c>
      <c r="G521" s="101"/>
      <c r="H521" s="97"/>
      <c r="I521" s="86"/>
      <c r="J521" s="88"/>
      <c r="K521" s="88"/>
    </row>
    <row r="522" ht="22.5" customHeight="1">
      <c r="A522" s="90">
        <v>45825.0</v>
      </c>
      <c r="B522" s="81" t="str">
        <f t="shared" si="1"/>
        <v>2025-06</v>
      </c>
      <c r="C522" s="107">
        <v>2.00036189E8</v>
      </c>
      <c r="D522" s="125" t="str">
        <f>IFERROR(VLOOKUP(C522,produto,2,FALSE), "Produto não encontrado")</f>
        <v>COPO DESCARTAVEL 180ML</v>
      </c>
      <c r="E522" s="92" t="s">
        <v>528</v>
      </c>
      <c r="F522" s="93">
        <v>1.0</v>
      </c>
      <c r="G522" s="101"/>
      <c r="H522" s="97"/>
      <c r="I522" s="86"/>
      <c r="J522" s="88"/>
      <c r="K522" s="88"/>
    </row>
    <row r="523" ht="22.5" customHeight="1">
      <c r="A523" s="90">
        <v>45820.0</v>
      </c>
      <c r="B523" s="81" t="str">
        <f t="shared" si="1"/>
        <v>2025-06</v>
      </c>
      <c r="C523" s="107">
        <v>2.00004223E8</v>
      </c>
      <c r="D523" s="125" t="str">
        <f>IFERROR(VLOOKUP(C523,produto,2,FALSE), "Produto não encontrado")</f>
        <v>INJETADO FECHO ENGATE 25MM</v>
      </c>
      <c r="E523" s="92" t="s">
        <v>528</v>
      </c>
      <c r="F523" s="93">
        <v>1.0</v>
      </c>
      <c r="G523" s="106" t="s">
        <v>571</v>
      </c>
      <c r="H523" s="97"/>
      <c r="I523" s="86"/>
      <c r="J523" s="88"/>
      <c r="K523" s="88"/>
    </row>
    <row r="524" ht="22.5" customHeight="1">
      <c r="A524" s="90">
        <v>45820.0</v>
      </c>
      <c r="B524" s="81" t="str">
        <f t="shared" si="1"/>
        <v>2025-06</v>
      </c>
      <c r="C524" s="107">
        <v>2.00033068E8</v>
      </c>
      <c r="D524" s="125" t="str">
        <f>IFERROR(VLOOKUP(C524,produto,2,FALSE), "Produto não encontrado")</f>
        <v> PAPEL SULFITE A4 210 X 297MM 75G BRANCO MULTIUSO PACOTE COM 500 FLS</v>
      </c>
      <c r="E524" s="92" t="s">
        <v>528</v>
      </c>
      <c r="F524" s="93">
        <v>1.0</v>
      </c>
      <c r="G524" s="101" t="s">
        <v>594</v>
      </c>
      <c r="H524" s="97"/>
      <c r="I524" s="86"/>
      <c r="J524" s="88"/>
      <c r="K524" s="88"/>
    </row>
    <row r="525" ht="22.5" customHeight="1">
      <c r="A525" s="90">
        <v>45819.0</v>
      </c>
      <c r="B525" s="81" t="str">
        <f t="shared" si="1"/>
        <v>2025-06</v>
      </c>
      <c r="C525" s="107">
        <v>2.00036189E8</v>
      </c>
      <c r="D525" s="125" t="str">
        <f>IFERROR(VLOOKUP(C525,produto,2,FALSE), "Produto não encontrado")</f>
        <v>COPO DESCARTAVEL 180ML</v>
      </c>
      <c r="E525" s="92" t="s">
        <v>528</v>
      </c>
      <c r="F525" s="93">
        <v>1.0</v>
      </c>
      <c r="G525" s="101"/>
      <c r="H525" s="97"/>
      <c r="I525" s="86"/>
      <c r="J525" s="88"/>
      <c r="K525" s="88"/>
    </row>
    <row r="526" ht="22.5" customHeight="1">
      <c r="A526" s="90">
        <v>45818.0</v>
      </c>
      <c r="B526" s="81" t="str">
        <f t="shared" si="1"/>
        <v>2025-06</v>
      </c>
      <c r="C526" s="107">
        <v>2.00043839E8</v>
      </c>
      <c r="D526" s="125" t="str">
        <f>IFERROR(VLOOKUP(C526,produto,2,FALSE), "Produto não encontrado")</f>
        <v>PASTA POLIONDA COM ABA E ELASTICO 34X25X55MM</v>
      </c>
      <c r="E526" s="92" t="s">
        <v>528</v>
      </c>
      <c r="F526" s="93">
        <v>3.0</v>
      </c>
      <c r="G526" s="106" t="s">
        <v>571</v>
      </c>
      <c r="H526" s="97"/>
      <c r="I526" s="86"/>
      <c r="J526" s="88"/>
      <c r="K526" s="88"/>
    </row>
    <row r="527" ht="22.5" customHeight="1">
      <c r="A527" s="90">
        <v>45818.0</v>
      </c>
      <c r="B527" s="81" t="str">
        <f t="shared" si="1"/>
        <v>2025-06</v>
      </c>
      <c r="C527" s="107">
        <v>2.00036189E8</v>
      </c>
      <c r="D527" s="125" t="str">
        <f>IFERROR(VLOOKUP(C527,produto,2,FALSE), "Produto não encontrado")</f>
        <v>COPO DESCARTAVEL 180ML</v>
      </c>
      <c r="E527" s="92" t="s">
        <v>526</v>
      </c>
      <c r="F527" s="93">
        <v>2.0</v>
      </c>
      <c r="G527" s="101"/>
      <c r="H527" s="97"/>
      <c r="I527" s="86"/>
      <c r="J527" s="88"/>
      <c r="K527" s="88"/>
    </row>
    <row r="528" ht="22.5" customHeight="1">
      <c r="A528" s="90">
        <v>45817.0</v>
      </c>
      <c r="B528" s="81" t="str">
        <f t="shared" si="1"/>
        <v>2025-06</v>
      </c>
      <c r="C528" s="107">
        <v>2.00000032E8</v>
      </c>
      <c r="D528" s="125" t="str">
        <f>IFERROR(VLOOKUP(C528,produto,2,FALSE), "Produto não encontrado")</f>
        <v>INJETADO SOMENTE ENGATE 25 MM</v>
      </c>
      <c r="E528" s="92" t="s">
        <v>528</v>
      </c>
      <c r="F528" s="93">
        <v>5.0</v>
      </c>
      <c r="G528" s="106" t="s">
        <v>575</v>
      </c>
      <c r="H528" s="97"/>
      <c r="I528" s="86"/>
      <c r="J528" s="88"/>
      <c r="K528" s="88"/>
    </row>
    <row r="529" ht="22.5" customHeight="1">
      <c r="A529" s="90">
        <v>45814.0</v>
      </c>
      <c r="B529" s="81" t="str">
        <f t="shared" si="1"/>
        <v>2025-06</v>
      </c>
      <c r="C529" s="107">
        <v>2.00061889E8</v>
      </c>
      <c r="D529" s="125" t="str">
        <f>IFERROR(VLOOKUP(C529,produto,2,FALSE), "Produto não encontrado")</f>
        <v>MASCARA DE PROTEÇÃO PFF2 FILTRO N95( BRANCA)</v>
      </c>
      <c r="E529" s="92" t="s">
        <v>528</v>
      </c>
      <c r="F529" s="93">
        <v>2.0</v>
      </c>
      <c r="G529" s="106" t="s">
        <v>547</v>
      </c>
      <c r="H529" s="97"/>
      <c r="I529" s="86"/>
      <c r="J529" s="88"/>
      <c r="K529" s="88"/>
    </row>
    <row r="530" ht="22.5" customHeight="1">
      <c r="A530" s="90">
        <v>45814.0</v>
      </c>
      <c r="B530" s="81" t="str">
        <f t="shared" si="1"/>
        <v>2025-06</v>
      </c>
      <c r="C530" s="107">
        <v>7.89232707E8</v>
      </c>
      <c r="D530" s="125" t="str">
        <f>IFERROR(VLOOKUP(C530,produto,2,FALSE), "Produto não encontrado")</f>
        <v>Produto não encontrado</v>
      </c>
      <c r="E530" s="92" t="s">
        <v>528</v>
      </c>
      <c r="F530" s="93">
        <v>1.0</v>
      </c>
      <c r="G530" s="106" t="s">
        <v>547</v>
      </c>
      <c r="H530" s="97"/>
      <c r="I530" s="86"/>
      <c r="J530" s="88"/>
      <c r="K530" s="88"/>
    </row>
    <row r="531" ht="22.5" customHeight="1">
      <c r="A531" s="90">
        <v>45813.0</v>
      </c>
      <c r="B531" s="81" t="str">
        <f t="shared" si="1"/>
        <v>2025-06</v>
      </c>
      <c r="C531" s="107">
        <v>2.00066236E8</v>
      </c>
      <c r="D531" s="125" t="str">
        <f>IFERROR(VLOOKUP(C531,produto,2,FALSE), "Produto não encontrado")</f>
        <v>ENVELOPE MADEIRA A4 240 X 340MM 80G</v>
      </c>
      <c r="E531" s="92" t="s">
        <v>526</v>
      </c>
      <c r="F531" s="93">
        <v>10.0</v>
      </c>
      <c r="G531" s="101" t="s">
        <v>11</v>
      </c>
      <c r="H531" s="97"/>
      <c r="I531" s="86"/>
      <c r="J531" s="88"/>
      <c r="K531" s="88"/>
    </row>
    <row r="532" ht="22.5" customHeight="1">
      <c r="A532" s="90">
        <v>45813.0</v>
      </c>
      <c r="B532" s="81" t="str">
        <f t="shared" si="1"/>
        <v>2025-06</v>
      </c>
      <c r="C532" s="107">
        <v>2.00001528E8</v>
      </c>
      <c r="D532" s="125" t="str">
        <f>IFERROR(VLOOKUP(C532,produto,2,FALSE), "Produto não encontrado")</f>
        <v> LAPIS GRAFITE Nº 02</v>
      </c>
      <c r="E532" s="92" t="s">
        <v>526</v>
      </c>
      <c r="F532" s="93">
        <v>3.0</v>
      </c>
      <c r="G532" s="101" t="s">
        <v>11</v>
      </c>
      <c r="H532" s="97"/>
      <c r="I532" s="86"/>
      <c r="J532" s="88"/>
      <c r="K532" s="88"/>
    </row>
    <row r="533" ht="22.5" customHeight="1">
      <c r="A533" s="90">
        <v>45813.0</v>
      </c>
      <c r="B533" s="81" t="str">
        <f t="shared" si="1"/>
        <v>2025-06</v>
      </c>
      <c r="C533" s="107">
        <v>2.00001528E8</v>
      </c>
      <c r="D533" s="125" t="str">
        <f>IFERROR(VLOOKUP(C533,produto,2,FALSE), "Produto não encontrado")</f>
        <v> LAPIS GRAFITE Nº 02</v>
      </c>
      <c r="E533" s="92" t="s">
        <v>526</v>
      </c>
      <c r="F533" s="93">
        <v>10.0</v>
      </c>
      <c r="G533" s="101" t="s">
        <v>11</v>
      </c>
      <c r="H533" s="97"/>
      <c r="I533" s="86"/>
      <c r="J533" s="88"/>
      <c r="K533" s="88"/>
    </row>
    <row r="534" ht="22.5" customHeight="1">
      <c r="A534" s="90">
        <v>45813.0</v>
      </c>
      <c r="B534" s="81" t="str">
        <f t="shared" si="1"/>
        <v>2025-06</v>
      </c>
      <c r="C534" s="107">
        <v>2.00064766E8</v>
      </c>
      <c r="D534" s="125" t="str">
        <f>IFERROR(VLOOKUP(C534,produto,2,FALSE), "Produto não encontrado")</f>
        <v>PASTA COM ELASTICO LONGA 335 X 245 X 55MM</v>
      </c>
      <c r="E534" s="92" t="s">
        <v>526</v>
      </c>
      <c r="F534" s="93">
        <v>10.0</v>
      </c>
      <c r="G534" s="101" t="s">
        <v>11</v>
      </c>
      <c r="H534" s="97"/>
      <c r="I534" s="86"/>
      <c r="J534" s="88"/>
      <c r="K534" s="88"/>
    </row>
    <row r="535" ht="22.5" customHeight="1">
      <c r="A535" s="90">
        <v>45813.0</v>
      </c>
      <c r="B535" s="81" t="str">
        <f t="shared" si="1"/>
        <v>2025-06</v>
      </c>
      <c r="C535" s="107">
        <v>2.00033068E8</v>
      </c>
      <c r="D535" s="125" t="str">
        <f>IFERROR(VLOOKUP(C535,produto,2,FALSE), "Produto não encontrado")</f>
        <v> PAPEL SULFITE A4 210 X 297MM 75G BRANCO MULTIUSO PACOTE COM 500 FLS</v>
      </c>
      <c r="E535" s="92" t="s">
        <v>526</v>
      </c>
      <c r="F535" s="93">
        <v>3.0</v>
      </c>
      <c r="G535" s="101" t="s">
        <v>11</v>
      </c>
      <c r="H535" s="97"/>
      <c r="I535" s="86"/>
      <c r="J535" s="88"/>
      <c r="K535" s="88"/>
    </row>
    <row r="536" ht="22.5" customHeight="1">
      <c r="A536" s="90">
        <v>45813.0</v>
      </c>
      <c r="B536" s="81" t="str">
        <f t="shared" si="1"/>
        <v>2025-06</v>
      </c>
      <c r="C536" s="107">
        <v>2.00076172E8</v>
      </c>
      <c r="D536" s="125" t="str">
        <f>IFERROR(VLOOKUP(C536,produto,2,FALSE), "Produto não encontrado")</f>
        <v>LUVA DE VINIL G(9) COM 100 UND</v>
      </c>
      <c r="E536" s="92" t="s">
        <v>526</v>
      </c>
      <c r="F536" s="93">
        <v>1.0</v>
      </c>
      <c r="G536" s="101" t="s">
        <v>11</v>
      </c>
      <c r="H536" s="97"/>
      <c r="I536" s="86"/>
      <c r="J536" s="88"/>
      <c r="K536" s="88"/>
    </row>
    <row r="537" ht="22.5" customHeight="1">
      <c r="A537" s="90">
        <v>45813.0</v>
      </c>
      <c r="B537" s="81" t="str">
        <f t="shared" si="1"/>
        <v>2025-06</v>
      </c>
      <c r="C537" s="107">
        <v>2.00052413E8</v>
      </c>
      <c r="D537" s="125" t="str">
        <f>IFERROR(VLOOKUP(C537,produto,2,FALSE), "Produto não encontrado")</f>
        <v>LUVA LATEX P COM 100 UND</v>
      </c>
      <c r="E537" s="92" t="s">
        <v>526</v>
      </c>
      <c r="F537" s="93">
        <v>1.0</v>
      </c>
      <c r="G537" s="101" t="s">
        <v>11</v>
      </c>
      <c r="H537" s="97"/>
      <c r="I537" s="86"/>
    </row>
    <row r="538" ht="22.5" customHeight="1">
      <c r="A538" s="90">
        <v>45813.0</v>
      </c>
      <c r="B538" s="81" t="str">
        <f t="shared" si="1"/>
        <v>2025-06</v>
      </c>
      <c r="C538" s="107">
        <v>2.00076172E8</v>
      </c>
      <c r="D538" s="125" t="str">
        <f>IFERROR(VLOOKUP(C538,produto,2,FALSE), "Produto não encontrado")</f>
        <v>LUVA DE VINIL G(9) COM 100 UND</v>
      </c>
      <c r="E538" s="92" t="s">
        <v>526</v>
      </c>
      <c r="F538" s="93">
        <v>1.0</v>
      </c>
      <c r="G538" s="101" t="s">
        <v>11</v>
      </c>
      <c r="H538" s="97"/>
      <c r="I538" s="86"/>
    </row>
    <row r="539" ht="22.5" customHeight="1">
      <c r="A539" s="90">
        <v>45813.0</v>
      </c>
      <c r="B539" s="81" t="str">
        <f t="shared" si="1"/>
        <v>2025-06</v>
      </c>
      <c r="C539" s="107">
        <v>2.0003649E8</v>
      </c>
      <c r="D539" s="125" t="str">
        <f>IFERROR(VLOOKUP(C539,produto,2,FALSE), "Produto não encontrado")</f>
        <v>CLIPS NIQUELADO Nº 2 COM 100 UN</v>
      </c>
      <c r="E539" s="92" t="s">
        <v>526</v>
      </c>
      <c r="F539" s="93">
        <v>2.0</v>
      </c>
      <c r="G539" s="101" t="s">
        <v>11</v>
      </c>
      <c r="H539" s="97"/>
      <c r="I539" s="86"/>
    </row>
    <row r="540" ht="22.5" customHeight="1">
      <c r="A540" s="90">
        <v>45813.0</v>
      </c>
      <c r="B540" s="81" t="str">
        <f t="shared" si="1"/>
        <v>2025-06</v>
      </c>
      <c r="C540" s="107">
        <v>2.00036733E8</v>
      </c>
      <c r="D540" s="125" t="str">
        <f>IFERROR(VLOOKUP(C540,produto,2,FALSE), "Produto não encontrado")</f>
        <v> CANETA MARCA TEXTO PLASTICA COR AMARELO</v>
      </c>
      <c r="E540" s="92" t="s">
        <v>526</v>
      </c>
      <c r="F540" s="93">
        <v>4.0</v>
      </c>
      <c r="G540" s="101" t="s">
        <v>11</v>
      </c>
      <c r="H540" s="97"/>
      <c r="I540" s="86"/>
    </row>
    <row r="541" ht="22.5" customHeight="1">
      <c r="A541" s="90">
        <v>45813.0</v>
      </c>
      <c r="B541" s="81" t="str">
        <f t="shared" si="1"/>
        <v>2025-06</v>
      </c>
      <c r="C541" s="107">
        <v>2.00036488E8</v>
      </c>
      <c r="D541" s="125" t="str">
        <f>IFERROR(VLOOKUP(C541,produto,2,FALSE), "Produto não encontrado")</f>
        <v>CANETA MARCADOR PERMANENTE PONTA 2.0mm</v>
      </c>
      <c r="E541" s="92" t="s">
        <v>526</v>
      </c>
      <c r="F541" s="93">
        <v>2.0</v>
      </c>
      <c r="G541" s="101" t="s">
        <v>11</v>
      </c>
      <c r="H541" s="97"/>
      <c r="I541" s="86"/>
    </row>
    <row r="542" ht="22.5" customHeight="1">
      <c r="A542" s="90">
        <v>45813.0</v>
      </c>
      <c r="B542" s="81" t="str">
        <f t="shared" si="1"/>
        <v>2025-06</v>
      </c>
      <c r="C542" s="107">
        <v>2.00036752E8</v>
      </c>
      <c r="D542" s="125" t="str">
        <f>IFERROR(VLOOKUP(C542,produto,2,FALSE), "Produto não encontrado")</f>
        <v>ALCOOL 1LT</v>
      </c>
      <c r="E542" s="92" t="s">
        <v>526</v>
      </c>
      <c r="F542" s="93">
        <v>2.0</v>
      </c>
      <c r="G542" s="101" t="s">
        <v>11</v>
      </c>
      <c r="H542" s="97"/>
      <c r="I542" s="86"/>
    </row>
    <row r="543" ht="22.5" customHeight="1">
      <c r="A543" s="90">
        <v>45813.0</v>
      </c>
      <c r="B543" s="81" t="str">
        <f t="shared" si="1"/>
        <v>2025-06</v>
      </c>
      <c r="C543" s="107">
        <v>2.00036752E8</v>
      </c>
      <c r="D543" s="125" t="str">
        <f>IFERROR(VLOOKUP(C543,produto,2,FALSE), "Produto não encontrado")</f>
        <v>ALCOOL 1LT</v>
      </c>
      <c r="E543" s="92" t="s">
        <v>528</v>
      </c>
      <c r="F543" s="93">
        <v>1.0</v>
      </c>
      <c r="G543" s="106" t="s">
        <v>571</v>
      </c>
      <c r="H543" s="97"/>
      <c r="I543" s="86"/>
    </row>
    <row r="544" ht="22.5" customHeight="1">
      <c r="A544" s="90">
        <v>45813.0</v>
      </c>
      <c r="B544" s="81" t="str">
        <f t="shared" si="1"/>
        <v>2025-06</v>
      </c>
      <c r="C544" s="107">
        <v>2.00135429E8</v>
      </c>
      <c r="D544" s="125" t="str">
        <f>IFERROR(VLOOKUP(C544,produto,2,FALSE), "Produto não encontrado")</f>
        <v>NYLON 900 PVC PRETO LARG 1.50 (RL)</v>
      </c>
      <c r="E544" s="92" t="s">
        <v>528</v>
      </c>
      <c r="F544" s="93">
        <v>1.0</v>
      </c>
      <c r="G544" s="106" t="s">
        <v>571</v>
      </c>
      <c r="H544" s="97"/>
      <c r="I544" s="86"/>
    </row>
    <row r="545" ht="22.5" customHeight="1">
      <c r="A545" s="90">
        <v>45812.0</v>
      </c>
      <c r="B545" s="81" t="str">
        <f t="shared" si="1"/>
        <v>2025-06</v>
      </c>
      <c r="C545" s="107">
        <v>2.00037491E8</v>
      </c>
      <c r="D545" s="125" t="str">
        <f>IFERROR(VLOOKUP(C545,produto,2,FALSE), "Produto não encontrado")</f>
        <v>MASCARA CIRURGICA TRIPLA</v>
      </c>
      <c r="E545" s="92" t="s">
        <v>528</v>
      </c>
      <c r="F545" s="93">
        <v>1.0</v>
      </c>
      <c r="G545" s="101" t="s">
        <v>586</v>
      </c>
      <c r="H545" s="97"/>
      <c r="I545" s="86"/>
    </row>
    <row r="546" ht="22.5" customHeight="1">
      <c r="A546" s="90">
        <v>45812.0</v>
      </c>
      <c r="B546" s="81" t="str">
        <f t="shared" si="1"/>
        <v>2025-06</v>
      </c>
      <c r="C546" s="107">
        <v>2.00075793E8</v>
      </c>
      <c r="D546" s="125" t="str">
        <f>IFERROR(VLOOKUP(C546,produto,2,FALSE), "Produto não encontrado")</f>
        <v>MASCARA DE PROTEÇÃO PFF2 FILTRO N95 COM VALVULA SUPER SAFETY (azul)</v>
      </c>
      <c r="E546" s="92" t="s">
        <v>528</v>
      </c>
      <c r="F546" s="93">
        <v>1.0</v>
      </c>
      <c r="G546" s="101" t="s">
        <v>598</v>
      </c>
      <c r="H546" s="97"/>
      <c r="I546" s="86"/>
      <c r="J546" s="88"/>
      <c r="K546" s="88"/>
    </row>
    <row r="547" ht="22.5" customHeight="1">
      <c r="A547" s="90">
        <v>45811.0</v>
      </c>
      <c r="B547" s="81" t="str">
        <f t="shared" si="1"/>
        <v>2025-06</v>
      </c>
      <c r="C547" s="107">
        <v>2.00006455E8</v>
      </c>
      <c r="D547" s="125" t="str">
        <f>IFERROR(VLOOKUP(C547,produto,2,FALSE), "Produto não encontrado")</f>
        <v>TECIDO NAVALHADO ACOPLADO JAC BOREAL 1,80M</v>
      </c>
      <c r="E547" s="92" t="s">
        <v>526</v>
      </c>
      <c r="F547" s="93">
        <v>1.0</v>
      </c>
      <c r="G547" s="106" t="s">
        <v>571</v>
      </c>
      <c r="H547" s="97"/>
      <c r="I547" s="86"/>
      <c r="J547" s="88"/>
      <c r="K547" s="88"/>
    </row>
    <row r="548" ht="22.5" customHeight="1">
      <c r="A548" s="90">
        <v>45806.0</v>
      </c>
      <c r="B548" s="81" t="str">
        <f t="shared" si="1"/>
        <v>2025-05</v>
      </c>
      <c r="C548" s="107">
        <v>2.00064766E8</v>
      </c>
      <c r="D548" s="125" t="str">
        <f>IFERROR(VLOOKUP(C548,produto,2,FALSE), "Produto não encontrado")</f>
        <v>PASTA COM ELASTICO LONGA 335 X 245 X 55MM</v>
      </c>
      <c r="E548" s="92" t="s">
        <v>528</v>
      </c>
      <c r="F548" s="93">
        <v>6.0</v>
      </c>
      <c r="G548" s="101" t="s">
        <v>594</v>
      </c>
      <c r="H548" s="97"/>
      <c r="I548" s="86"/>
      <c r="J548" s="88"/>
      <c r="K548" s="88"/>
    </row>
    <row r="549" ht="22.5" customHeight="1">
      <c r="A549" s="90">
        <v>45806.0</v>
      </c>
      <c r="B549" s="81" t="str">
        <f t="shared" si="1"/>
        <v>2025-05</v>
      </c>
      <c r="C549" s="107">
        <v>2.00036189E8</v>
      </c>
      <c r="D549" s="125" t="str">
        <f>IFERROR(VLOOKUP(C549,produto,2,FALSE), "Produto não encontrado")</f>
        <v>COPO DESCARTAVEL 180ML</v>
      </c>
      <c r="E549" s="92" t="s">
        <v>528</v>
      </c>
      <c r="F549" s="93">
        <v>1.0</v>
      </c>
      <c r="G549" s="101"/>
      <c r="H549" s="97"/>
      <c r="I549" s="86"/>
      <c r="J549" s="88"/>
      <c r="K549" s="88"/>
    </row>
    <row r="550" ht="22.5" customHeight="1">
      <c r="A550" s="90">
        <v>45804.0</v>
      </c>
      <c r="B550" s="81" t="str">
        <f t="shared" si="1"/>
        <v>2025-05</v>
      </c>
      <c r="C550" s="108">
        <v>2.00036752E8</v>
      </c>
      <c r="D550" s="125" t="str">
        <f>IFERROR(VLOOKUP(C550,produto,2,FALSE), "Produto não encontrado")</f>
        <v>ALCOOL 1LT</v>
      </c>
      <c r="E550" s="92" t="s">
        <v>528</v>
      </c>
      <c r="F550" s="93">
        <v>1.0</v>
      </c>
      <c r="G550" s="101" t="s">
        <v>598</v>
      </c>
      <c r="H550" s="97"/>
      <c r="I550" s="86"/>
      <c r="J550" s="88"/>
      <c r="K550" s="88"/>
    </row>
    <row r="551" ht="22.5" customHeight="1">
      <c r="A551" s="90">
        <v>45803.0</v>
      </c>
      <c r="B551" s="81" t="str">
        <f t="shared" si="1"/>
        <v>2025-05</v>
      </c>
      <c r="C551" s="108">
        <v>2.00033068E8</v>
      </c>
      <c r="D551" s="125" t="str">
        <f>IFERROR(VLOOKUP(C551,produto,2,FALSE), "Produto não encontrado")</f>
        <v> PAPEL SULFITE A4 210 X 297MM 75G BRANCO MULTIUSO PACOTE COM 500 FLS</v>
      </c>
      <c r="E551" s="92" t="s">
        <v>528</v>
      </c>
      <c r="F551" s="93">
        <v>1.0</v>
      </c>
      <c r="G551" s="101" t="s">
        <v>586</v>
      </c>
      <c r="H551" s="97"/>
      <c r="I551" s="86"/>
      <c r="J551" s="88"/>
      <c r="K551" s="88"/>
    </row>
    <row r="552" ht="22.5" customHeight="1">
      <c r="A552" s="90">
        <v>45800.0</v>
      </c>
      <c r="B552" s="81" t="str">
        <f t="shared" si="1"/>
        <v>2025-05</v>
      </c>
      <c r="C552" s="108">
        <v>2.00036189E8</v>
      </c>
      <c r="D552" s="125" t="str">
        <f>IFERROR(VLOOKUP(C552,produto,2,FALSE), "Produto não encontrado")</f>
        <v>COPO DESCARTAVEL 180ML</v>
      </c>
      <c r="E552" s="92" t="s">
        <v>528</v>
      </c>
      <c r="F552" s="93">
        <v>1.0</v>
      </c>
      <c r="G552" s="101"/>
      <c r="H552" s="97"/>
      <c r="I552" s="86"/>
      <c r="J552" s="88"/>
      <c r="K552" s="88"/>
    </row>
    <row r="553" ht="22.5" customHeight="1">
      <c r="A553" s="90">
        <v>45799.0</v>
      </c>
      <c r="B553" s="81" t="str">
        <f t="shared" si="1"/>
        <v>2025-05</v>
      </c>
      <c r="C553" s="108">
        <v>2.00037867E8</v>
      </c>
      <c r="D553" s="125" t="str">
        <f>IFERROR(VLOOKUP(C553,produto,2,FALSE), "Produto não encontrado")</f>
        <v>TESOURA MULTIUSO CABO PLASTICO LAMINA EM AÇO INOX 21CM</v>
      </c>
      <c r="E553" s="92" t="s">
        <v>528</v>
      </c>
      <c r="F553" s="93">
        <v>1.0</v>
      </c>
      <c r="G553" s="101" t="s">
        <v>27</v>
      </c>
      <c r="H553" s="97"/>
      <c r="I553" s="86"/>
      <c r="J553" s="88"/>
      <c r="K553" s="88"/>
    </row>
    <row r="554" ht="22.5" customHeight="1">
      <c r="A554" s="90">
        <v>45799.0</v>
      </c>
      <c r="B554" s="81" t="str">
        <f t="shared" si="1"/>
        <v>2025-05</v>
      </c>
      <c r="C554" s="127">
        <v>2.00000033E8</v>
      </c>
      <c r="D554" s="125" t="str">
        <f>IFERROR(VLOOKUP(C554,produto,2,FALSE), "Produto não encontrado")</f>
        <v>BANCO PEQUENO AZUL</v>
      </c>
      <c r="E554" s="92" t="s">
        <v>528</v>
      </c>
      <c r="F554" s="93">
        <v>2.0</v>
      </c>
      <c r="G554" s="101" t="s">
        <v>599</v>
      </c>
      <c r="H554" s="97"/>
      <c r="I554" s="86"/>
      <c r="J554" s="88"/>
      <c r="K554" s="88"/>
    </row>
    <row r="555" ht="22.5" customHeight="1">
      <c r="A555" s="90">
        <v>45799.0</v>
      </c>
      <c r="B555" s="81" t="str">
        <f t="shared" si="1"/>
        <v>2025-05</v>
      </c>
      <c r="C555" s="127">
        <v>2.00000033E8</v>
      </c>
      <c r="D555" s="125" t="str">
        <f>IFERROR(VLOOKUP(C555,produto,2,FALSE), "Produto não encontrado")</f>
        <v>BANCO PEQUENO AZUL</v>
      </c>
      <c r="E555" s="92" t="s">
        <v>528</v>
      </c>
      <c r="F555" s="93">
        <v>2.0</v>
      </c>
      <c r="G555" s="106" t="s">
        <v>571</v>
      </c>
      <c r="H555" s="97"/>
      <c r="I555" s="86"/>
      <c r="J555" s="88"/>
      <c r="K555" s="88"/>
    </row>
    <row r="556" ht="22.5" customHeight="1">
      <c r="A556" s="90">
        <v>45799.0</v>
      </c>
      <c r="B556" s="81" t="str">
        <f t="shared" si="1"/>
        <v>2025-05</v>
      </c>
      <c r="C556" s="127">
        <v>2.00000033E8</v>
      </c>
      <c r="D556" s="125" t="str">
        <f>IFERROR(VLOOKUP(C556,produto,2,FALSE), "Produto não encontrado")</f>
        <v>BANCO PEQUENO AZUL</v>
      </c>
      <c r="E556" s="92" t="s">
        <v>526</v>
      </c>
      <c r="F556" s="93">
        <v>10.0</v>
      </c>
      <c r="G556" s="101" t="s">
        <v>11</v>
      </c>
      <c r="H556" s="97"/>
      <c r="I556" s="86"/>
    </row>
    <row r="557" ht="22.5" customHeight="1">
      <c r="A557" s="90">
        <v>45799.0</v>
      </c>
      <c r="B557" s="81" t="str">
        <f t="shared" si="1"/>
        <v>2025-05</v>
      </c>
      <c r="C557" s="127">
        <v>2.00000034E8</v>
      </c>
      <c r="D557" s="125" t="str">
        <f>IFERROR(VLOOKUP(C557,produto,2,FALSE), "Produto não encontrado")</f>
        <v>INJETADO SOMENTE ENGATE 50 MM</v>
      </c>
      <c r="E557" s="92" t="s">
        <v>526</v>
      </c>
      <c r="F557" s="93">
        <v>2.0</v>
      </c>
      <c r="G557" s="101" t="s">
        <v>11</v>
      </c>
      <c r="H557" s="97"/>
      <c r="I557" s="86"/>
    </row>
    <row r="558" ht="22.5" customHeight="1">
      <c r="A558" s="90">
        <v>45799.0</v>
      </c>
      <c r="B558" s="81" t="str">
        <f t="shared" si="1"/>
        <v>2025-05</v>
      </c>
      <c r="C558" s="127">
        <v>2.0000424E8</v>
      </c>
      <c r="D558" s="125" t="str">
        <f>IFERROR(VLOOKUP(C558,produto,2,FALSE), "Produto não encontrado")</f>
        <v>INJETADO FECHO REGULADOR 50MM</v>
      </c>
      <c r="E558" s="92" t="s">
        <v>526</v>
      </c>
      <c r="F558" s="93">
        <v>62.0</v>
      </c>
      <c r="G558" s="101" t="s">
        <v>11</v>
      </c>
      <c r="H558" s="97"/>
      <c r="I558" s="86"/>
    </row>
    <row r="559" ht="22.5" customHeight="1">
      <c r="A559" s="90">
        <v>45799.0</v>
      </c>
      <c r="B559" s="81" t="str">
        <f t="shared" si="1"/>
        <v>2025-05</v>
      </c>
      <c r="C559" s="127">
        <v>2.00004226E8</v>
      </c>
      <c r="D559" s="125" t="str">
        <f>IFERROR(VLOOKUP(C559,produto,2,FALSE), "Produto não encontrado")</f>
        <v>INJETADO FECHO ENGATE 50MM</v>
      </c>
      <c r="E559" s="92" t="s">
        <v>526</v>
      </c>
      <c r="F559" s="93">
        <v>60.0</v>
      </c>
      <c r="G559" s="101" t="s">
        <v>11</v>
      </c>
      <c r="H559" s="97"/>
      <c r="I559" s="86"/>
    </row>
    <row r="560" ht="22.5" customHeight="1">
      <c r="A560" s="90">
        <v>45799.0</v>
      </c>
      <c r="B560" s="81" t="str">
        <f t="shared" si="1"/>
        <v>2025-05</v>
      </c>
      <c r="C560" s="127">
        <v>2.00004226E8</v>
      </c>
      <c r="D560" s="125" t="str">
        <f>IFERROR(VLOOKUP(C560,produto,2,FALSE), "Produto não encontrado")</f>
        <v>INJETADO FECHO ENGATE 50MM</v>
      </c>
      <c r="E560" s="92" t="s">
        <v>526</v>
      </c>
      <c r="F560" s="93">
        <v>44.0</v>
      </c>
      <c r="G560" s="101" t="s">
        <v>600</v>
      </c>
      <c r="H560" s="97"/>
      <c r="I560" s="86"/>
    </row>
    <row r="561" ht="22.5" customHeight="1">
      <c r="A561" s="90">
        <v>45799.0</v>
      </c>
      <c r="B561" s="81" t="str">
        <f t="shared" si="1"/>
        <v>2025-05</v>
      </c>
      <c r="C561" s="127">
        <v>2.00004237E8</v>
      </c>
      <c r="D561" s="125" t="str">
        <f>IFERROR(VLOOKUP(C561,produto,2,FALSE), "Produto não encontrado")</f>
        <v>INJETADO FECHO REGULADOR  25MM</v>
      </c>
      <c r="E561" s="92" t="s">
        <v>526</v>
      </c>
      <c r="F561" s="93">
        <v>103.0</v>
      </c>
      <c r="G561" s="101" t="s">
        <v>11</v>
      </c>
      <c r="H561" s="97"/>
      <c r="I561" s="86"/>
    </row>
    <row r="562" ht="22.5" customHeight="1">
      <c r="A562" s="90">
        <v>45799.0</v>
      </c>
      <c r="B562" s="81" t="str">
        <f t="shared" si="1"/>
        <v>2025-05</v>
      </c>
      <c r="C562" s="107">
        <v>2.00000032E8</v>
      </c>
      <c r="D562" s="125" t="str">
        <f>IFERROR(VLOOKUP(C562,produto,2,FALSE), "Produto não encontrado")</f>
        <v>INJETADO SOMENTE ENGATE 25 MM</v>
      </c>
      <c r="E562" s="92" t="s">
        <v>526</v>
      </c>
      <c r="F562" s="93">
        <v>10.0</v>
      </c>
      <c r="G562" s="101" t="s">
        <v>11</v>
      </c>
      <c r="H562" s="97"/>
      <c r="I562" s="86"/>
    </row>
    <row r="563" ht="22.5" customHeight="1">
      <c r="A563" s="90">
        <v>45799.0</v>
      </c>
      <c r="B563" s="81" t="str">
        <f t="shared" si="1"/>
        <v>2025-05</v>
      </c>
      <c r="C563" s="107">
        <v>2.00004223E8</v>
      </c>
      <c r="D563" s="125" t="str">
        <f>IFERROR(VLOOKUP(C563,produto,2,FALSE), "Produto não encontrado")</f>
        <v>INJETADO FECHO ENGATE 25MM</v>
      </c>
      <c r="E563" s="92" t="s">
        <v>526</v>
      </c>
      <c r="F563" s="93">
        <v>2.0</v>
      </c>
      <c r="G563" s="101" t="s">
        <v>11</v>
      </c>
      <c r="H563" s="97"/>
      <c r="I563" s="86"/>
    </row>
    <row r="564" ht="22.5" customHeight="1">
      <c r="A564" s="90">
        <v>45799.0</v>
      </c>
      <c r="B564" s="81" t="str">
        <f t="shared" si="1"/>
        <v>2025-05</v>
      </c>
      <c r="C564" s="107">
        <v>2.00004223E8</v>
      </c>
      <c r="D564" s="125" t="str">
        <f>IFERROR(VLOOKUP(C564,produto,2,FALSE), "Produto não encontrado")</f>
        <v>INJETADO FECHO ENGATE 25MM</v>
      </c>
      <c r="E564" s="92" t="s">
        <v>526</v>
      </c>
      <c r="F564" s="93">
        <v>100.0</v>
      </c>
      <c r="G564" s="101" t="s">
        <v>600</v>
      </c>
      <c r="H564" s="97"/>
      <c r="I564" s="86"/>
    </row>
    <row r="565" ht="22.5" customHeight="1">
      <c r="A565" s="90">
        <v>45799.0</v>
      </c>
      <c r="B565" s="81" t="str">
        <f t="shared" si="1"/>
        <v>2025-05</v>
      </c>
      <c r="C565" s="107">
        <v>2.00135429E8</v>
      </c>
      <c r="D565" s="125" t="str">
        <f>IFERROR(VLOOKUP(C565,produto,2,FALSE), "Produto não encontrado")</f>
        <v>NYLON 900 PVC PRETO LARG 1.50 (RL)</v>
      </c>
      <c r="E565" s="92" t="s">
        <v>526</v>
      </c>
      <c r="F565" s="93">
        <v>6.0</v>
      </c>
      <c r="G565" s="101" t="s">
        <v>11</v>
      </c>
      <c r="H565" s="97"/>
      <c r="I565" s="86"/>
    </row>
    <row r="566" ht="22.5" customHeight="1">
      <c r="A566" s="90">
        <v>45799.0</v>
      </c>
      <c r="B566" s="81" t="str">
        <f t="shared" si="1"/>
        <v>2025-05</v>
      </c>
      <c r="C566" s="107">
        <v>2.00003278E8</v>
      </c>
      <c r="D566" s="125" t="str">
        <f>IFERROR(VLOOKUP(C566,produto,2,FALSE), "Produto não encontrado")</f>
        <v>LINHA 60 100% POLIESTER - 80 GRAMAS - PRETA</v>
      </c>
      <c r="E566" s="92" t="s">
        <v>526</v>
      </c>
      <c r="F566" s="93">
        <v>3.0</v>
      </c>
      <c r="G566" s="101" t="s">
        <v>11</v>
      </c>
      <c r="H566" s="97"/>
      <c r="I566" s="86"/>
    </row>
    <row r="567" ht="22.5" customHeight="1">
      <c r="A567" s="90">
        <v>45798.0</v>
      </c>
      <c r="B567" s="81" t="str">
        <f t="shared" si="1"/>
        <v>2025-05</v>
      </c>
      <c r="C567" s="107">
        <v>2.00000006E8</v>
      </c>
      <c r="D567" s="125" t="str">
        <f>IFERROR(VLOOKUP(C567,produto,2,FALSE), "Produto não encontrado")</f>
        <v>OLEO MINERAL 70PS</v>
      </c>
      <c r="E567" s="92" t="s">
        <v>528</v>
      </c>
      <c r="F567" s="93">
        <v>1.0</v>
      </c>
      <c r="G567" s="106" t="s">
        <v>571</v>
      </c>
      <c r="H567" s="97"/>
      <c r="I567" s="86"/>
    </row>
    <row r="568" ht="22.5" customHeight="1">
      <c r="A568" s="90">
        <v>45798.0</v>
      </c>
      <c r="B568" s="81" t="str">
        <f t="shared" si="1"/>
        <v>2025-05</v>
      </c>
      <c r="C568" s="107">
        <v>2.00000006E8</v>
      </c>
      <c r="D568" s="125" t="str">
        <f>IFERROR(VLOOKUP(C568,produto,2,FALSE), "Produto não encontrado")</f>
        <v>OLEO MINERAL 70PS</v>
      </c>
      <c r="E568" s="92" t="s">
        <v>526</v>
      </c>
      <c r="F568" s="93">
        <v>1.0</v>
      </c>
      <c r="G568" s="101"/>
      <c r="H568" s="97"/>
      <c r="I568" s="86"/>
    </row>
    <row r="569" ht="22.5" customHeight="1">
      <c r="A569" s="90">
        <v>45797.0</v>
      </c>
      <c r="B569" s="81" t="str">
        <f t="shared" si="1"/>
        <v>2025-05</v>
      </c>
      <c r="C569" s="108">
        <v>2.00064766E8</v>
      </c>
      <c r="D569" s="125" t="str">
        <f>IFERROR(VLOOKUP(C569,produto,2,FALSE), "Produto não encontrado")</f>
        <v>PASTA COM ELASTICO LONGA 335 X 245 X 55MM</v>
      </c>
      <c r="E569" s="92" t="s">
        <v>528</v>
      </c>
      <c r="F569" s="93">
        <v>2.0</v>
      </c>
      <c r="G569" s="106" t="s">
        <v>571</v>
      </c>
      <c r="H569" s="97"/>
      <c r="I569" s="86"/>
    </row>
    <row r="570" ht="22.5" customHeight="1">
      <c r="A570" s="90">
        <v>45797.0</v>
      </c>
      <c r="B570" s="81" t="str">
        <f t="shared" si="1"/>
        <v>2025-05</v>
      </c>
      <c r="C570" s="107">
        <v>2.00052413E8</v>
      </c>
      <c r="D570" s="125" t="str">
        <f>IFERROR(VLOOKUP(C570,produto,2,FALSE), "Produto não encontrado")</f>
        <v>LUVA LATEX P COM 100 UND</v>
      </c>
      <c r="E570" s="92" t="s">
        <v>528</v>
      </c>
      <c r="F570" s="93">
        <v>1.0</v>
      </c>
      <c r="G570" s="101" t="s">
        <v>582</v>
      </c>
      <c r="H570" s="97"/>
      <c r="I570" s="86"/>
    </row>
    <row r="571" ht="22.5" customHeight="1">
      <c r="A571" s="90">
        <v>45793.0</v>
      </c>
      <c r="B571" s="81" t="str">
        <f t="shared" si="1"/>
        <v>2025-05</v>
      </c>
      <c r="C571" s="108">
        <v>2.00085185E8</v>
      </c>
      <c r="D571" s="125" t="str">
        <f>IFERROR(VLOOKUP(C571,produto,2,FALSE), "Produto não encontrado")</f>
        <v>ESPARADRAPO IMPERMEAVEL 5CM X 4,5M</v>
      </c>
      <c r="E571" s="92" t="s">
        <v>528</v>
      </c>
      <c r="F571" s="93">
        <v>1.0</v>
      </c>
      <c r="G571" s="101" t="s">
        <v>586</v>
      </c>
      <c r="H571" s="97"/>
      <c r="I571" s="86"/>
    </row>
    <row r="572" ht="22.5" customHeight="1">
      <c r="A572" s="90">
        <v>45792.0</v>
      </c>
      <c r="B572" s="81" t="str">
        <f t="shared" si="1"/>
        <v>2025-05</v>
      </c>
      <c r="C572" s="108">
        <v>2.00036752E8</v>
      </c>
      <c r="D572" s="125" t="str">
        <f>IFERROR(VLOOKUP(C572,produto,2,FALSE), "Produto não encontrado")</f>
        <v>ALCOOL 1LT</v>
      </c>
      <c r="E572" s="92" t="s">
        <v>528</v>
      </c>
      <c r="F572" s="93">
        <v>1.0</v>
      </c>
      <c r="G572" s="101" t="s">
        <v>586</v>
      </c>
      <c r="H572" s="97"/>
      <c r="I572" s="86"/>
    </row>
    <row r="573" ht="22.5" customHeight="1">
      <c r="A573" s="90">
        <v>45792.0</v>
      </c>
      <c r="B573" s="81" t="str">
        <f t="shared" si="1"/>
        <v>2025-05</v>
      </c>
      <c r="C573" s="108">
        <v>2.00036189E8</v>
      </c>
      <c r="D573" s="125" t="str">
        <f>IFERROR(VLOOKUP(C573,produto,2,FALSE), "Produto não encontrado")</f>
        <v>COPO DESCARTAVEL 180ML</v>
      </c>
      <c r="E573" s="92" t="s">
        <v>528</v>
      </c>
      <c r="F573" s="93">
        <v>1.0</v>
      </c>
      <c r="G573" s="101"/>
      <c r="H573" s="97"/>
      <c r="I573" s="86"/>
    </row>
    <row r="574" ht="22.5" customHeight="1">
      <c r="A574" s="90">
        <v>45792.0</v>
      </c>
      <c r="B574" s="81" t="str">
        <f t="shared" si="1"/>
        <v>2025-05</v>
      </c>
      <c r="C574" s="108">
        <v>2.00033068E8</v>
      </c>
      <c r="D574" s="125" t="str">
        <f>IFERROR(VLOOKUP(C574,produto,2,FALSE), "Produto não encontrado")</f>
        <v> PAPEL SULFITE A4 210 X 297MM 75G BRANCO MULTIUSO PACOTE COM 500 FLS</v>
      </c>
      <c r="E574" s="92" t="s">
        <v>528</v>
      </c>
      <c r="F574" s="93">
        <v>1.0</v>
      </c>
      <c r="G574" s="101" t="s">
        <v>586</v>
      </c>
      <c r="H574" s="97"/>
      <c r="I574" s="86"/>
    </row>
    <row r="575" ht="22.5" customHeight="1">
      <c r="A575" s="90">
        <v>45792.0</v>
      </c>
      <c r="B575" s="81" t="str">
        <f t="shared" si="1"/>
        <v>2025-05</v>
      </c>
      <c r="C575" s="127">
        <v>2.00000031E8</v>
      </c>
      <c r="D575" s="125" t="str">
        <f>IFERROR(VLOOKUP(C575,produto,2,FALSE), "Produto não encontrado")</f>
        <v>PAR DE RODINHAS ANTI TOMBO P/ CADEIRA DE RODAS</v>
      </c>
      <c r="E575" s="92" t="s">
        <v>526</v>
      </c>
      <c r="F575" s="93">
        <v>14.0</v>
      </c>
      <c r="G575" s="101" t="s">
        <v>241</v>
      </c>
      <c r="H575" s="97"/>
      <c r="I575" s="86"/>
    </row>
    <row r="576" ht="22.5" customHeight="1">
      <c r="A576" s="90">
        <v>45792.0</v>
      </c>
      <c r="B576" s="81" t="str">
        <f t="shared" si="1"/>
        <v>2025-05</v>
      </c>
      <c r="C576" s="128">
        <v>7.0101029E8</v>
      </c>
      <c r="D576" s="125" t="str">
        <f>IFERROR(VLOOKUP(C576,produto,2,FALSE), "Produto não encontrado")</f>
        <v>APOIO LATERAL DE TRONCO (3 OU 4 PONTOS)</v>
      </c>
      <c r="E576" s="92" t="s">
        <v>526</v>
      </c>
      <c r="F576" s="93">
        <v>10.0</v>
      </c>
      <c r="G576" s="101" t="s">
        <v>241</v>
      </c>
      <c r="H576" s="97"/>
      <c r="I576" s="86"/>
    </row>
    <row r="577" ht="22.5" customHeight="1">
      <c r="A577" s="90">
        <v>45792.0</v>
      </c>
      <c r="B577" s="81" t="str">
        <f t="shared" si="1"/>
        <v>2025-05</v>
      </c>
      <c r="C577" s="128">
        <v>2.00042537E8</v>
      </c>
      <c r="D577" s="125" t="str">
        <f>IFERROR(VLOOKUP(C577,produto,2,FALSE), "Produto não encontrado")</f>
        <v>CAMARA DE AR DO PNEU</v>
      </c>
      <c r="E577" s="92" t="s">
        <v>526</v>
      </c>
      <c r="F577" s="93">
        <v>13.0</v>
      </c>
      <c r="G577" s="101" t="s">
        <v>601</v>
      </c>
      <c r="H577" s="97"/>
      <c r="I577" s="86"/>
    </row>
    <row r="578" ht="22.5" customHeight="1">
      <c r="A578" s="90">
        <v>45791.0</v>
      </c>
      <c r="B578" s="81" t="str">
        <f t="shared" si="1"/>
        <v>2025-05</v>
      </c>
      <c r="C578" s="129">
        <v>2.00058015E8</v>
      </c>
      <c r="D578" s="125" t="str">
        <f>IFERROR(VLOOKUP(C578,produto,2,FALSE), "Produto não encontrado")</f>
        <v>KNESIO - FITA DE CINESIOLOGIA ROLO COM 5CM X 5M</v>
      </c>
      <c r="E578" s="92" t="s">
        <v>528</v>
      </c>
      <c r="F578" s="93">
        <v>3.0</v>
      </c>
      <c r="G578" s="101" t="s">
        <v>579</v>
      </c>
      <c r="H578" s="97"/>
      <c r="I578" s="86"/>
    </row>
    <row r="579" ht="22.5" customHeight="1">
      <c r="A579" s="90">
        <v>45791.0</v>
      </c>
      <c r="B579" s="81" t="str">
        <f t="shared" si="1"/>
        <v>2025-05</v>
      </c>
      <c r="C579" s="108">
        <v>2.00033068E8</v>
      </c>
      <c r="D579" s="125" t="str">
        <f>IFERROR(VLOOKUP(C579,produto,2,FALSE), "Produto não encontrado")</f>
        <v> PAPEL SULFITE A4 210 X 297MM 75G BRANCO MULTIUSO PACOTE COM 500 FLS</v>
      </c>
      <c r="E579" s="92" t="s">
        <v>528</v>
      </c>
      <c r="F579" s="93">
        <v>1.0</v>
      </c>
      <c r="G579" s="101" t="s">
        <v>594</v>
      </c>
      <c r="H579" s="97"/>
      <c r="I579" s="86"/>
    </row>
    <row r="580" ht="22.5" customHeight="1">
      <c r="A580" s="90">
        <v>45791.0</v>
      </c>
      <c r="B580" s="81" t="str">
        <f t="shared" si="1"/>
        <v>2025-05</v>
      </c>
      <c r="C580" s="108" t="s">
        <v>150</v>
      </c>
      <c r="D580" s="125" t="str">
        <f>IFERROR(VLOOKUP(C580,produto,2,FALSE), "Produto não encontrado")</f>
        <v>MARCADOR PARA QUADRO BRANCO</v>
      </c>
      <c r="E580" s="92" t="s">
        <v>528</v>
      </c>
      <c r="F580" s="93">
        <v>1.0</v>
      </c>
      <c r="G580" s="101" t="s">
        <v>594</v>
      </c>
      <c r="H580" s="97"/>
      <c r="I580" s="86"/>
    </row>
    <row r="581" ht="22.5" customHeight="1">
      <c r="A581" s="90">
        <v>45790.0</v>
      </c>
      <c r="B581" s="81" t="str">
        <f t="shared" si="1"/>
        <v>2025-05</v>
      </c>
      <c r="C581" s="124" t="s">
        <v>206</v>
      </c>
      <c r="D581" s="125" t="str">
        <f>IFERROR(VLOOKUP(C581,produto,2,FALSE), "Produto não encontrado")</f>
        <v>PLACA TERMOPLASTICA - ORFIT ECO BLACK NS 45 x 60cm x 3.2mm MINI Perforated</v>
      </c>
      <c r="E581" s="92" t="s">
        <v>528</v>
      </c>
      <c r="F581" s="93">
        <v>2.0</v>
      </c>
      <c r="G581" s="101" t="s">
        <v>579</v>
      </c>
      <c r="H581" s="97"/>
      <c r="I581" s="86"/>
    </row>
    <row r="582" ht="22.5" customHeight="1">
      <c r="A582" s="90">
        <v>45790.0</v>
      </c>
      <c r="B582" s="81" t="str">
        <f t="shared" si="1"/>
        <v>2025-05</v>
      </c>
      <c r="C582" s="124" t="s">
        <v>211</v>
      </c>
      <c r="D582" s="125" t="str">
        <f>IFERROR(VLOOKUP(C582,produto,2,FALSE), "Produto não encontrado")</f>
        <v>PLACA TERMOPLASTICA - ORFIT ECO NATUREL 45 x 60cm x 3.2mm MINI Perforated</v>
      </c>
      <c r="E582" s="92" t="s">
        <v>528</v>
      </c>
      <c r="F582" s="93">
        <v>1.0</v>
      </c>
      <c r="G582" s="101" t="s">
        <v>579</v>
      </c>
      <c r="H582" s="97"/>
      <c r="I582" s="86"/>
    </row>
    <row r="583" ht="22.5" customHeight="1">
      <c r="A583" s="90">
        <v>45789.0</v>
      </c>
      <c r="B583" s="81" t="str">
        <f t="shared" si="1"/>
        <v>2025-05</v>
      </c>
      <c r="C583" s="103">
        <v>2.00048673E8</v>
      </c>
      <c r="D583" s="125" t="str">
        <f>IFERROR(VLOOKUP(C583,produto,2,FALSE), "Produto não encontrado")</f>
        <v>ESTILETE PLASTICO ESTREITO DE 9MM</v>
      </c>
      <c r="E583" s="92" t="s">
        <v>528</v>
      </c>
      <c r="F583" s="93">
        <v>1.0</v>
      </c>
      <c r="G583" s="101" t="s">
        <v>586</v>
      </c>
      <c r="H583" s="97"/>
      <c r="I583" s="86"/>
    </row>
    <row r="584" ht="22.5" customHeight="1">
      <c r="A584" s="90">
        <v>45789.0</v>
      </c>
      <c r="B584" s="81" t="str">
        <f t="shared" si="1"/>
        <v>2025-05</v>
      </c>
      <c r="C584" s="107">
        <v>2.00077416E8</v>
      </c>
      <c r="D584" s="125" t="str">
        <f>IFERROR(VLOOKUP(C584,produto,2,FALSE), "Produto não encontrado")</f>
        <v>COLA SPRAY PERMANENTE DE 500ML/330G</v>
      </c>
      <c r="E584" s="92" t="s">
        <v>528</v>
      </c>
      <c r="F584" s="93">
        <v>1.0</v>
      </c>
      <c r="G584" s="106" t="s">
        <v>568</v>
      </c>
      <c r="H584" s="97"/>
      <c r="I584" s="86"/>
    </row>
    <row r="585" ht="22.5" customHeight="1">
      <c r="A585" s="90">
        <v>45789.0</v>
      </c>
      <c r="B585" s="81" t="str">
        <f t="shared" si="1"/>
        <v>2025-05</v>
      </c>
      <c r="C585" s="108">
        <v>2.00075793E8</v>
      </c>
      <c r="D585" s="125" t="str">
        <f>IFERROR(VLOOKUP(C585,produto,2,FALSE), "Produto não encontrado")</f>
        <v>MASCARA DE PROTEÇÃO PFF2 FILTRO N95 COM VALVULA SUPER SAFETY (azul)</v>
      </c>
      <c r="E585" s="92" t="s">
        <v>528</v>
      </c>
      <c r="F585" s="93">
        <v>1.0</v>
      </c>
      <c r="G585" s="101" t="s">
        <v>598</v>
      </c>
      <c r="H585" s="97"/>
      <c r="I585" s="86"/>
    </row>
    <row r="586" ht="22.5" customHeight="1">
      <c r="A586" s="90">
        <v>45789.0</v>
      </c>
      <c r="B586" s="81" t="str">
        <f t="shared" si="1"/>
        <v>2025-05</v>
      </c>
      <c r="C586" s="108">
        <v>2.00036189E8</v>
      </c>
      <c r="D586" s="125" t="str">
        <f>IFERROR(VLOOKUP(C586,produto,2,FALSE), "Produto não encontrado")</f>
        <v>COPO DESCARTAVEL 180ML</v>
      </c>
      <c r="E586" s="92" t="s">
        <v>528</v>
      </c>
      <c r="F586" s="93">
        <v>1.0</v>
      </c>
      <c r="G586" s="101"/>
      <c r="H586" s="97"/>
      <c r="I586" s="86"/>
    </row>
    <row r="587" ht="22.5" customHeight="1">
      <c r="A587" s="90">
        <v>45789.0</v>
      </c>
      <c r="B587" s="81" t="str">
        <f t="shared" si="1"/>
        <v>2025-05</v>
      </c>
      <c r="C587" s="107">
        <v>2.00036618E8</v>
      </c>
      <c r="D587" s="125" t="str">
        <f>IFERROR(VLOOKUP(C587,produto,2,FALSE), "Produto não encontrado")</f>
        <v>ESPONJA SINTETICA DUPLA FACE 10X7X2</v>
      </c>
      <c r="E587" s="92" t="s">
        <v>528</v>
      </c>
      <c r="F587" s="93">
        <v>2.0</v>
      </c>
      <c r="G587" s="101"/>
      <c r="H587" s="97"/>
      <c r="I587" s="86"/>
    </row>
    <row r="588" ht="22.5" customHeight="1">
      <c r="A588" s="90">
        <v>45785.0</v>
      </c>
      <c r="B588" s="81" t="str">
        <f t="shared" si="1"/>
        <v>2025-05</v>
      </c>
      <c r="C588" s="124">
        <v>2.00033068E8</v>
      </c>
      <c r="D588" s="125" t="str">
        <f>IFERROR(VLOOKUP(C588,produto,2,FALSE), "Produto não encontrado")</f>
        <v> PAPEL SULFITE A4 210 X 297MM 75G BRANCO MULTIUSO PACOTE COM 500 FLS</v>
      </c>
      <c r="E588" s="92" t="s">
        <v>526</v>
      </c>
      <c r="F588" s="93">
        <v>5.0</v>
      </c>
      <c r="G588" s="101" t="s">
        <v>11</v>
      </c>
      <c r="H588" s="97"/>
      <c r="I588" s="86"/>
    </row>
    <row r="589" ht="22.5" customHeight="1">
      <c r="A589" s="90">
        <v>45785.0</v>
      </c>
      <c r="B589" s="81" t="str">
        <f t="shared" si="1"/>
        <v>2025-05</v>
      </c>
      <c r="C589" s="128">
        <v>2.00036416E8</v>
      </c>
      <c r="D589" s="125" t="str">
        <f>IFERROR(VLOOKUP(C589,produto,2,FALSE), "Produto não encontrado")</f>
        <v>COLA BRANCA PVA EMBALAGEM DE 1KG</v>
      </c>
      <c r="E589" s="92" t="s">
        <v>526</v>
      </c>
      <c r="F589" s="93">
        <v>1.0</v>
      </c>
      <c r="G589" s="101" t="s">
        <v>11</v>
      </c>
      <c r="H589" s="97"/>
      <c r="I589" s="86"/>
    </row>
    <row r="590" ht="22.5" customHeight="1">
      <c r="A590" s="90">
        <v>45785.0</v>
      </c>
      <c r="B590" s="81" t="str">
        <f t="shared" si="1"/>
        <v>2025-05</v>
      </c>
      <c r="C590" s="128">
        <v>2.00036488E8</v>
      </c>
      <c r="D590" s="125" t="str">
        <f>IFERROR(VLOOKUP(C590,produto,2,FALSE), "Produto não encontrado")</f>
        <v>CANETA MARCADOR PERMANENTE PONTA 2.0mm</v>
      </c>
      <c r="E590" s="92" t="s">
        <v>526</v>
      </c>
      <c r="F590" s="93">
        <v>2.0</v>
      </c>
      <c r="G590" s="101" t="s">
        <v>11</v>
      </c>
      <c r="H590" s="97"/>
      <c r="I590" s="86"/>
    </row>
    <row r="591" ht="22.5" customHeight="1">
      <c r="A591" s="90">
        <v>45785.0</v>
      </c>
      <c r="B591" s="81" t="str">
        <f t="shared" si="1"/>
        <v>2025-05</v>
      </c>
      <c r="C591" s="129">
        <v>2.0003649E8</v>
      </c>
      <c r="D591" s="125" t="str">
        <f>IFERROR(VLOOKUP(C591,produto,2,FALSE), "Produto não encontrado")</f>
        <v>CLIPS NIQUELADO Nº 2 COM 100 UN</v>
      </c>
      <c r="E591" s="92" t="s">
        <v>526</v>
      </c>
      <c r="F591" s="93">
        <v>4.0</v>
      </c>
      <c r="G591" s="101" t="s">
        <v>11</v>
      </c>
      <c r="H591" s="97"/>
      <c r="I591" s="86"/>
    </row>
    <row r="592" ht="22.5" customHeight="1">
      <c r="A592" s="90">
        <v>45785.0</v>
      </c>
      <c r="B592" s="81" t="str">
        <f t="shared" si="1"/>
        <v>2025-05</v>
      </c>
      <c r="C592" s="107">
        <v>2.00036489E8</v>
      </c>
      <c r="D592" s="125" t="str">
        <f>IFERROR(VLOOKUP(C592,produto,2,FALSE), "Produto não encontrado")</f>
        <v>CLIPS NIQUELADO Nº 1 COM 100 UN</v>
      </c>
      <c r="E592" s="92" t="s">
        <v>526</v>
      </c>
      <c r="F592" s="93">
        <v>4.0</v>
      </c>
      <c r="G592" s="101" t="s">
        <v>11</v>
      </c>
      <c r="H592" s="97"/>
      <c r="I592" s="86"/>
    </row>
    <row r="593" ht="22.5" customHeight="1">
      <c r="A593" s="90">
        <v>45785.0</v>
      </c>
      <c r="B593" s="81" t="str">
        <f t="shared" si="1"/>
        <v>2025-05</v>
      </c>
      <c r="C593" s="103">
        <v>2.00036752E8</v>
      </c>
      <c r="D593" s="125" t="str">
        <f>IFERROR(VLOOKUP(C593,produto,2,FALSE), "Produto não encontrado")</f>
        <v>ALCOOL 1LT</v>
      </c>
      <c r="E593" s="92" t="s">
        <v>526</v>
      </c>
      <c r="F593" s="93">
        <v>2.0</v>
      </c>
      <c r="G593" s="101" t="s">
        <v>11</v>
      </c>
      <c r="H593" s="97"/>
      <c r="I593" s="86"/>
    </row>
    <row r="594" ht="22.5" customHeight="1">
      <c r="A594" s="90">
        <v>45785.0</v>
      </c>
      <c r="B594" s="81" t="str">
        <f t="shared" si="1"/>
        <v>2025-05</v>
      </c>
      <c r="C594" s="103">
        <v>2.0003678E8</v>
      </c>
      <c r="D594" s="125" t="str">
        <f>IFERROR(VLOOKUP(C594,produto,2,FALSE), "Produto não encontrado")</f>
        <v>GRAMPO PARA GRAMPEADOR NIQUELADO 26/6 CAIXA COM 5000 PEÇAS</v>
      </c>
      <c r="E594" s="92" t="s">
        <v>526</v>
      </c>
      <c r="F594" s="93">
        <v>2.0</v>
      </c>
      <c r="G594" s="101" t="s">
        <v>11</v>
      </c>
      <c r="H594" s="97"/>
      <c r="I594" s="86"/>
      <c r="J594" s="130"/>
      <c r="K594" s="130"/>
    </row>
    <row r="595" ht="22.5" customHeight="1">
      <c r="A595" s="90">
        <v>45785.0</v>
      </c>
      <c r="B595" s="81" t="str">
        <f t="shared" si="1"/>
        <v>2025-05</v>
      </c>
      <c r="C595" s="103">
        <v>2.00037491E8</v>
      </c>
      <c r="D595" s="125" t="str">
        <f>IFERROR(VLOOKUP(C595,produto,2,FALSE), "Produto não encontrado")</f>
        <v>MASCARA CIRURGICA TRIPLA</v>
      </c>
      <c r="E595" s="92" t="s">
        <v>526</v>
      </c>
      <c r="F595" s="93">
        <v>3.0</v>
      </c>
      <c r="G595" s="101" t="s">
        <v>11</v>
      </c>
      <c r="H595" s="97"/>
      <c r="I595" s="86"/>
      <c r="J595" s="130"/>
      <c r="K595" s="130"/>
    </row>
    <row r="596" ht="22.5" customHeight="1">
      <c r="A596" s="90">
        <v>45785.0</v>
      </c>
      <c r="B596" s="81" t="str">
        <f t="shared" si="1"/>
        <v>2025-05</v>
      </c>
      <c r="C596" s="103">
        <v>2.00041824E8</v>
      </c>
      <c r="D596" s="125" t="str">
        <f>IFERROR(VLOOKUP(C596,produto,2,FALSE), "Produto não encontrado")</f>
        <v>ELASTICOS AMARELO</v>
      </c>
      <c r="E596" s="92" t="s">
        <v>526</v>
      </c>
      <c r="F596" s="93">
        <v>2.0</v>
      </c>
      <c r="G596" s="101" t="s">
        <v>11</v>
      </c>
      <c r="H596" s="97"/>
      <c r="I596" s="86"/>
      <c r="J596" s="130"/>
      <c r="K596" s="130"/>
    </row>
    <row r="597" ht="22.5" customHeight="1">
      <c r="A597" s="90">
        <v>45785.0</v>
      </c>
      <c r="B597" s="81" t="str">
        <f t="shared" si="1"/>
        <v>2025-05</v>
      </c>
      <c r="C597" s="103">
        <v>2.00043598E8</v>
      </c>
      <c r="D597" s="125" t="str">
        <f>IFERROR(VLOOKUP(C597,produto,2,FALSE), "Produto não encontrado")</f>
        <v>LAMINA PARA ESTILETE ESTREITO DE 13CM</v>
      </c>
      <c r="E597" s="92" t="s">
        <v>526</v>
      </c>
      <c r="F597" s="93">
        <v>2.0</v>
      </c>
      <c r="G597" s="101" t="s">
        <v>11</v>
      </c>
      <c r="H597" s="97"/>
      <c r="I597" s="86"/>
      <c r="J597" s="130"/>
      <c r="K597" s="130"/>
    </row>
    <row r="598" ht="22.5" customHeight="1">
      <c r="A598" s="90">
        <v>45785.0</v>
      </c>
      <c r="B598" s="81" t="str">
        <f t="shared" si="1"/>
        <v>2025-05</v>
      </c>
      <c r="C598" s="103">
        <v>2.00036656E8</v>
      </c>
      <c r="D598" s="125" t="str">
        <f>IFERROR(VLOOKUP(C598,produto,2,FALSE), "Produto não encontrado")</f>
        <v>FITA ADESIVA TRANSPARENTE 45MM X 50M</v>
      </c>
      <c r="E598" s="92" t="s">
        <v>526</v>
      </c>
      <c r="F598" s="93">
        <v>2.0</v>
      </c>
      <c r="G598" s="101" t="s">
        <v>11</v>
      </c>
      <c r="H598" s="97"/>
      <c r="I598" s="86"/>
      <c r="J598" s="130"/>
      <c r="K598" s="130"/>
    </row>
    <row r="599" ht="22.5" customHeight="1">
      <c r="A599" s="90">
        <v>45785.0</v>
      </c>
      <c r="B599" s="81" t="str">
        <f t="shared" si="1"/>
        <v>2025-05</v>
      </c>
      <c r="C599" s="103">
        <v>2.0004416E8</v>
      </c>
      <c r="D599" s="125" t="str">
        <f>IFERROR(VLOOKUP(C599,produto,2,FALSE), "Produto não encontrado")</f>
        <v>DESENGRIPANTE SPRAY 300ML</v>
      </c>
      <c r="E599" s="92" t="s">
        <v>526</v>
      </c>
      <c r="F599" s="93">
        <v>1.0</v>
      </c>
      <c r="G599" s="101" t="s">
        <v>11</v>
      </c>
      <c r="H599" s="97"/>
      <c r="I599" s="86"/>
    </row>
    <row r="600" ht="22.5" customHeight="1">
      <c r="A600" s="90">
        <v>45785.0</v>
      </c>
      <c r="B600" s="81" t="str">
        <f t="shared" si="1"/>
        <v>2025-05</v>
      </c>
      <c r="C600" s="103">
        <v>2.00048673E8</v>
      </c>
      <c r="D600" s="125" t="str">
        <f>IFERROR(VLOOKUP(C600,produto,2,FALSE), "Produto não encontrado")</f>
        <v>ESTILETE PLASTICO ESTREITO DE 9MM</v>
      </c>
      <c r="E600" s="92" t="s">
        <v>526</v>
      </c>
      <c r="F600" s="93">
        <v>1.0</v>
      </c>
      <c r="G600" s="101" t="s">
        <v>11</v>
      </c>
      <c r="H600" s="97"/>
      <c r="I600" s="86"/>
    </row>
    <row r="601" ht="22.5" customHeight="1">
      <c r="A601" s="90">
        <v>45785.0</v>
      </c>
      <c r="B601" s="81" t="str">
        <f t="shared" si="1"/>
        <v>2025-05</v>
      </c>
      <c r="C601" s="124">
        <v>2.00036189E8</v>
      </c>
      <c r="D601" s="125" t="str">
        <f>IFERROR(VLOOKUP(C601,produto,2,FALSE), "Produto não encontrado")</f>
        <v>COPO DESCARTAVEL 180ML</v>
      </c>
      <c r="E601" s="92" t="s">
        <v>526</v>
      </c>
      <c r="F601" s="93">
        <v>3.0</v>
      </c>
      <c r="G601" s="101"/>
      <c r="H601" s="97"/>
      <c r="I601" s="86"/>
    </row>
    <row r="602" ht="22.5" customHeight="1">
      <c r="A602" s="90">
        <v>45785.0</v>
      </c>
      <c r="B602" s="81" t="str">
        <f t="shared" si="1"/>
        <v>2025-05</v>
      </c>
      <c r="C602" s="127">
        <v>2.00037892E8</v>
      </c>
      <c r="D602" s="125" t="str">
        <f>IFERROR(VLOOKUP(C602,produto,2,FALSE), "Produto não encontrado")</f>
        <v>FITA ADESIVA CREPE 19MM X 50M</v>
      </c>
      <c r="E602" s="92" t="s">
        <v>526</v>
      </c>
      <c r="F602" s="93">
        <v>2.0</v>
      </c>
      <c r="G602" s="101" t="s">
        <v>11</v>
      </c>
      <c r="H602" s="97"/>
      <c r="I602" s="86"/>
    </row>
    <row r="603" ht="22.5" customHeight="1">
      <c r="A603" s="90">
        <v>45785.0</v>
      </c>
      <c r="B603" s="81" t="str">
        <f t="shared" si="1"/>
        <v>2025-05</v>
      </c>
      <c r="C603" s="127">
        <v>2.00036618E8</v>
      </c>
      <c r="D603" s="125" t="str">
        <f>IFERROR(VLOOKUP(C603,produto,2,FALSE), "Produto não encontrado")</f>
        <v>ESPONJA SINTETICA DUPLA FACE 10X7X2</v>
      </c>
      <c r="E603" s="92" t="s">
        <v>526</v>
      </c>
      <c r="F603" s="93">
        <v>2.0</v>
      </c>
      <c r="G603" s="101" t="s">
        <v>11</v>
      </c>
      <c r="H603" s="97"/>
      <c r="I603" s="86"/>
    </row>
    <row r="604" ht="22.5" customHeight="1">
      <c r="A604" s="90">
        <v>45785.0</v>
      </c>
      <c r="B604" s="81" t="str">
        <f t="shared" si="1"/>
        <v>2025-05</v>
      </c>
      <c r="C604" s="127">
        <v>2.00056391E8</v>
      </c>
      <c r="D604" s="125" t="str">
        <f>IFERROR(VLOOKUP(C604,produto,2,FALSE), "Produto não encontrado")</f>
        <v>FITA CREPE DE 48X50MM</v>
      </c>
      <c r="E604" s="92" t="s">
        <v>526</v>
      </c>
      <c r="F604" s="93">
        <v>2.0</v>
      </c>
      <c r="G604" s="101" t="s">
        <v>11</v>
      </c>
      <c r="H604" s="97"/>
      <c r="I604" s="86"/>
    </row>
    <row r="605" ht="22.5" customHeight="1">
      <c r="A605" s="90">
        <v>45785.0</v>
      </c>
      <c r="B605" s="81" t="str">
        <f t="shared" si="1"/>
        <v>2025-05</v>
      </c>
      <c r="C605" s="127">
        <v>2.00052414E8</v>
      </c>
      <c r="D605" s="125" t="str">
        <f>IFERROR(VLOOKUP(C605,produto,2,FALSE), "Produto não encontrado")</f>
        <v>LUVA LATEX M(8) COM 100 UND</v>
      </c>
      <c r="E605" s="92" t="s">
        <v>526</v>
      </c>
      <c r="F605" s="93">
        <v>2.0</v>
      </c>
      <c r="G605" s="101" t="s">
        <v>11</v>
      </c>
      <c r="H605" s="97"/>
      <c r="I605" s="86"/>
    </row>
    <row r="606" ht="22.5" customHeight="1">
      <c r="A606" s="90">
        <v>45785.0</v>
      </c>
      <c r="B606" s="81" t="str">
        <f t="shared" si="1"/>
        <v>2025-05</v>
      </c>
      <c r="C606" s="127">
        <v>2.00052413E8</v>
      </c>
      <c r="D606" s="125" t="str">
        <f>IFERROR(VLOOKUP(C606,produto,2,FALSE), "Produto não encontrado")</f>
        <v>LUVA LATEX P COM 100 UND</v>
      </c>
      <c r="E606" s="92" t="s">
        <v>526</v>
      </c>
      <c r="F606" s="93">
        <v>1.0</v>
      </c>
      <c r="G606" s="101" t="s">
        <v>11</v>
      </c>
      <c r="H606" s="97"/>
      <c r="I606" s="86"/>
    </row>
    <row r="607" ht="22.5" customHeight="1">
      <c r="A607" s="90">
        <v>45785.0</v>
      </c>
      <c r="B607" s="81" t="str">
        <f t="shared" si="1"/>
        <v>2025-05</v>
      </c>
      <c r="C607" s="127">
        <v>2.0000003E8</v>
      </c>
      <c r="D607" s="125" t="str">
        <f>IFERROR(VLOOKUP(C607,produto,2,FALSE), "Produto não encontrado")</f>
        <v>SUPORTE P/ APOIO DE  PÉ</v>
      </c>
      <c r="E607" s="92" t="s">
        <v>526</v>
      </c>
      <c r="F607" s="93">
        <v>10.0</v>
      </c>
      <c r="G607" s="101" t="s">
        <v>11</v>
      </c>
      <c r="H607" s="97"/>
      <c r="I607" s="86"/>
      <c r="J607" s="130"/>
      <c r="K607" s="130"/>
    </row>
    <row r="608" ht="22.5" customHeight="1">
      <c r="A608" s="90">
        <v>45785.0</v>
      </c>
      <c r="B608" s="81" t="str">
        <f t="shared" si="1"/>
        <v>2025-05</v>
      </c>
      <c r="C608" s="127">
        <v>2.30621029E8</v>
      </c>
      <c r="D608" s="125" t="str">
        <f>IFERROR(VLOOKUP(C608,produto,2,FALSE), "Produto não encontrado")</f>
        <v>RODA ARO 6 PRETA C/ PNEU MAC PRETO PP</v>
      </c>
      <c r="E608" s="92" t="s">
        <v>526</v>
      </c>
      <c r="F608" s="93">
        <v>11.0</v>
      </c>
      <c r="G608" s="101" t="s">
        <v>11</v>
      </c>
      <c r="H608" s="97"/>
      <c r="I608" s="86"/>
    </row>
    <row r="609" ht="22.5" customHeight="1">
      <c r="A609" s="90">
        <v>45784.0</v>
      </c>
      <c r="B609" s="81" t="str">
        <f t="shared" si="1"/>
        <v>2025-05</v>
      </c>
      <c r="C609" s="107">
        <v>2.00069551E8</v>
      </c>
      <c r="D609" s="125" t="str">
        <f>IFERROR(VLOOKUP(C609,produto,2,FALSE), "Produto não encontrado")</f>
        <v>ALFINETE MARCADOR DE MAPA 8MM TIPO BOLA EM PLASTICO 50UN</v>
      </c>
      <c r="E609" s="92" t="s">
        <v>528</v>
      </c>
      <c r="F609" s="93">
        <v>1.0</v>
      </c>
      <c r="G609" s="106" t="s">
        <v>568</v>
      </c>
      <c r="H609" s="97"/>
      <c r="I609" s="86"/>
    </row>
    <row r="610" ht="22.5" customHeight="1">
      <c r="A610" s="90">
        <v>45776.0</v>
      </c>
      <c r="B610" s="81" t="str">
        <f t="shared" si="1"/>
        <v>2025-04</v>
      </c>
      <c r="C610" s="108">
        <v>2.00036189E8</v>
      </c>
      <c r="D610" s="125" t="str">
        <f>IFERROR(VLOOKUP(C610,produto,2,FALSE), "Produto não encontrado")</f>
        <v>COPO DESCARTAVEL 180ML</v>
      </c>
      <c r="E610" s="92" t="s">
        <v>528</v>
      </c>
      <c r="F610" s="93">
        <v>1.0</v>
      </c>
      <c r="G610" s="50"/>
      <c r="H610" s="51"/>
      <c r="I610" s="86"/>
    </row>
    <row r="611" ht="22.5" customHeight="1">
      <c r="A611" s="90">
        <v>45776.0</v>
      </c>
      <c r="B611" s="81" t="str">
        <f t="shared" si="1"/>
        <v>2025-04</v>
      </c>
      <c r="C611" s="124">
        <v>2.0003653E8</v>
      </c>
      <c r="D611" s="125" t="str">
        <f>IFERROR(VLOOKUP(C611,produto,2,FALSE), "Produto não encontrado")</f>
        <v>ODORIZADOR DE AMBIENTE AEROSOL DE 400ML</v>
      </c>
      <c r="E611" s="92" t="s">
        <v>528</v>
      </c>
      <c r="F611" s="93">
        <v>1.0</v>
      </c>
      <c r="G611" s="101" t="s">
        <v>598</v>
      </c>
      <c r="H611" s="97"/>
      <c r="I611" s="86"/>
    </row>
    <row r="612" ht="22.5" customHeight="1">
      <c r="A612" s="90">
        <v>45776.0</v>
      </c>
      <c r="B612" s="81" t="str">
        <f t="shared" si="1"/>
        <v>2025-04</v>
      </c>
      <c r="C612" s="124">
        <v>2.00033068E8</v>
      </c>
      <c r="D612" s="125" t="str">
        <f>IFERROR(VLOOKUP(C612,produto,2,FALSE), "Produto não encontrado")</f>
        <v> PAPEL SULFITE A4 210 X 297MM 75G BRANCO MULTIUSO PACOTE COM 500 FLS</v>
      </c>
      <c r="E612" s="92" t="s">
        <v>528</v>
      </c>
      <c r="F612" s="93">
        <v>1.0</v>
      </c>
      <c r="G612" s="101" t="s">
        <v>586</v>
      </c>
      <c r="H612" s="97"/>
      <c r="I612" s="86"/>
    </row>
    <row r="613" ht="22.5" customHeight="1">
      <c r="A613" s="90">
        <v>45775.0</v>
      </c>
      <c r="B613" s="81" t="str">
        <f t="shared" si="1"/>
        <v>2025-04</v>
      </c>
      <c r="C613" s="103">
        <v>2.000027E8</v>
      </c>
      <c r="D613" s="125" t="str">
        <f>IFERROR(VLOOKUP(C613,produto,2,FALSE), "Produto não encontrado")</f>
        <v>THINNER / LIMPEZA E ACABAMENTO 900ML</v>
      </c>
      <c r="E613" s="92" t="s">
        <v>528</v>
      </c>
      <c r="F613" s="93">
        <v>1.0</v>
      </c>
      <c r="G613" s="106" t="s">
        <v>575</v>
      </c>
      <c r="H613" s="97"/>
      <c r="I613" s="86"/>
    </row>
    <row r="614" ht="22.5" customHeight="1">
      <c r="A614" s="90">
        <v>45775.0</v>
      </c>
      <c r="B614" s="81" t="str">
        <f t="shared" si="1"/>
        <v>2025-04</v>
      </c>
      <c r="C614" s="108">
        <v>2.00064766E8</v>
      </c>
      <c r="D614" s="125" t="str">
        <f>IFERROR(VLOOKUP(C614,produto,2,FALSE), "Produto não encontrado")</f>
        <v>PASTA COM ELASTICO LONGA 335 X 245 X 55MM</v>
      </c>
      <c r="E614" s="92" t="s">
        <v>528</v>
      </c>
      <c r="F614" s="93">
        <v>2.0</v>
      </c>
      <c r="G614" s="106" t="s">
        <v>547</v>
      </c>
      <c r="H614" s="51"/>
      <c r="I614" s="86"/>
    </row>
    <row r="615" ht="22.5" customHeight="1">
      <c r="A615" s="90">
        <v>45772.0</v>
      </c>
      <c r="B615" s="81" t="str">
        <f t="shared" si="1"/>
        <v>2025-04</v>
      </c>
      <c r="C615" s="124">
        <v>2.00037491E8</v>
      </c>
      <c r="D615" s="125" t="str">
        <f>IFERROR(VLOOKUP(C615,produto,2,FALSE), "Produto não encontrado")</f>
        <v>MASCARA CIRURGICA TRIPLA</v>
      </c>
      <c r="E615" s="92" t="s">
        <v>528</v>
      </c>
      <c r="F615" s="93">
        <v>1.0</v>
      </c>
      <c r="G615" s="101" t="s">
        <v>581</v>
      </c>
      <c r="H615" s="97"/>
      <c r="I615" s="86"/>
    </row>
    <row r="616" ht="22.5" customHeight="1">
      <c r="A616" s="90">
        <v>45771.0</v>
      </c>
      <c r="B616" s="81" t="str">
        <f t="shared" si="1"/>
        <v>2025-04</v>
      </c>
      <c r="C616" s="108">
        <v>2.00061889E8</v>
      </c>
      <c r="D616" s="125" t="str">
        <f>IFERROR(VLOOKUP(C616,produto,2,FALSE), "Produto não encontrado")</f>
        <v>MASCARA DE PROTEÇÃO PFF2 FILTRO N95( BRANCA)</v>
      </c>
      <c r="E616" s="92" t="s">
        <v>528</v>
      </c>
      <c r="F616" s="93">
        <v>1.0</v>
      </c>
      <c r="G616" s="101" t="s">
        <v>591</v>
      </c>
      <c r="H616" s="97"/>
      <c r="I616" s="86"/>
      <c r="J616" s="130"/>
      <c r="K616" s="130"/>
    </row>
    <row r="617" ht="22.5" customHeight="1">
      <c r="A617" s="90">
        <v>45770.0</v>
      </c>
      <c r="B617" s="81" t="str">
        <f t="shared" si="1"/>
        <v>2025-04</v>
      </c>
      <c r="C617" s="124">
        <v>2.0003649E8</v>
      </c>
      <c r="D617" s="125" t="str">
        <f>IFERROR(VLOOKUP(C617,produto,2,FALSE), "Produto não encontrado")</f>
        <v>CLIPS NIQUELADO Nº 2 COM 100 UN</v>
      </c>
      <c r="E617" s="92" t="s">
        <v>528</v>
      </c>
      <c r="F617" s="93">
        <v>1.0</v>
      </c>
      <c r="G617" s="101" t="s">
        <v>586</v>
      </c>
      <c r="H617" s="97"/>
      <c r="I617" s="86"/>
      <c r="J617" s="130"/>
      <c r="K617" s="130"/>
    </row>
    <row r="618" ht="22.5" customHeight="1">
      <c r="A618" s="90">
        <v>45769.0</v>
      </c>
      <c r="B618" s="81" t="str">
        <f t="shared" si="1"/>
        <v>2025-04</v>
      </c>
      <c r="C618" s="108">
        <v>2.00036189E8</v>
      </c>
      <c r="D618" s="125" t="str">
        <f>IFERROR(VLOOKUP(C618,produto,2,FALSE), "Produto não encontrado")</f>
        <v>COPO DESCARTAVEL 180ML</v>
      </c>
      <c r="E618" s="92" t="s">
        <v>528</v>
      </c>
      <c r="F618" s="93">
        <v>1.0</v>
      </c>
      <c r="G618" s="50"/>
      <c r="H618" s="51"/>
      <c r="I618" s="86"/>
      <c r="J618" s="130"/>
      <c r="K618" s="130"/>
    </row>
    <row r="619" ht="22.5" customHeight="1">
      <c r="A619" s="90">
        <v>45769.0</v>
      </c>
      <c r="B619" s="81" t="str">
        <f t="shared" si="1"/>
        <v>2025-04</v>
      </c>
      <c r="C619" s="108">
        <v>2.00036752E8</v>
      </c>
      <c r="D619" s="125" t="str">
        <f>IFERROR(VLOOKUP(C619,produto,2,FALSE), "Produto não encontrado")</f>
        <v>ALCOOL 1LT</v>
      </c>
      <c r="E619" s="92" t="s">
        <v>528</v>
      </c>
      <c r="F619" s="93">
        <v>1.0</v>
      </c>
      <c r="G619" s="101" t="s">
        <v>586</v>
      </c>
      <c r="H619" s="97"/>
      <c r="I619" s="86"/>
      <c r="J619" s="130"/>
      <c r="K619" s="130"/>
    </row>
    <row r="620" ht="22.5" customHeight="1">
      <c r="A620" s="90">
        <v>45762.0</v>
      </c>
      <c r="B620" s="81" t="str">
        <f t="shared" si="1"/>
        <v>2025-04</v>
      </c>
      <c r="C620" s="126">
        <v>2.00058015E8</v>
      </c>
      <c r="D620" s="125" t="str">
        <f>IFERROR(VLOOKUP(C620,produto,2,FALSE), "Produto não encontrado")</f>
        <v>KNESIO - FITA DE CINESIOLOGIA ROLO COM 5CM X 5M</v>
      </c>
      <c r="E620" s="92" t="s">
        <v>528</v>
      </c>
      <c r="F620" s="93">
        <v>2.0</v>
      </c>
      <c r="G620" s="106" t="s">
        <v>547</v>
      </c>
      <c r="H620" s="51"/>
      <c r="I620" s="86"/>
      <c r="J620" s="130"/>
      <c r="K620" s="130"/>
    </row>
    <row r="621" ht="22.5" customHeight="1">
      <c r="A621" s="90">
        <v>45762.0</v>
      </c>
      <c r="B621" s="81" t="str">
        <f t="shared" si="1"/>
        <v>2025-04</v>
      </c>
      <c r="C621" s="108">
        <v>2.00036618E8</v>
      </c>
      <c r="D621" s="125" t="str">
        <f>IFERROR(VLOOKUP(C621,produto,2,FALSE), "Produto não encontrado")</f>
        <v>ESPONJA SINTETICA DUPLA FACE 10X7X2</v>
      </c>
      <c r="E621" s="92" t="s">
        <v>528</v>
      </c>
      <c r="F621" s="93">
        <v>1.0</v>
      </c>
      <c r="G621" s="101" t="s">
        <v>581</v>
      </c>
      <c r="H621" s="97"/>
      <c r="I621" s="86"/>
      <c r="J621" s="130"/>
      <c r="K621" s="130"/>
    </row>
    <row r="622" ht="22.5" customHeight="1">
      <c r="A622" s="131">
        <v>45761.0</v>
      </c>
      <c r="B622" s="81" t="str">
        <f t="shared" si="1"/>
        <v>2025-04</v>
      </c>
      <c r="C622" s="108">
        <v>2.00061889E8</v>
      </c>
      <c r="D622" s="125" t="str">
        <f>IFERROR(VLOOKUP(C622,produto,2,FALSE), "Produto não encontrado")</f>
        <v>MASCARA DE PROTEÇÃO PFF2 FILTRO N95( BRANCA)</v>
      </c>
      <c r="E622" s="132" t="s">
        <v>528</v>
      </c>
      <c r="F622" s="133">
        <v>1.0</v>
      </c>
      <c r="G622" s="106" t="s">
        <v>575</v>
      </c>
      <c r="H622" s="97"/>
      <c r="I622" s="86"/>
      <c r="J622" s="130"/>
      <c r="K622" s="130"/>
    </row>
    <row r="623" ht="22.5" customHeight="1">
      <c r="A623" s="90">
        <v>45761.0</v>
      </c>
      <c r="B623" s="81" t="str">
        <f t="shared" si="1"/>
        <v>2025-04</v>
      </c>
      <c r="C623" s="108">
        <v>2.0008183E8</v>
      </c>
      <c r="D623" s="125" t="str">
        <f>IFERROR(VLOOKUP(C623,produto,2,FALSE), "Produto não encontrado")</f>
        <v>BLOCO DE ANOTAÇÃO AUTOADESIVO 76 X 102 MM COM 100 FOLHAS</v>
      </c>
      <c r="E623" s="92" t="s">
        <v>528</v>
      </c>
      <c r="F623" s="93">
        <v>1.0</v>
      </c>
      <c r="G623" s="101" t="s">
        <v>591</v>
      </c>
      <c r="H623" s="97"/>
      <c r="I623" s="86"/>
      <c r="J623" s="130"/>
      <c r="K623" s="130"/>
    </row>
    <row r="624" ht="22.5" customHeight="1">
      <c r="A624" s="90">
        <v>45758.0</v>
      </c>
      <c r="B624" s="81" t="str">
        <f t="shared" si="1"/>
        <v>2025-04</v>
      </c>
      <c r="C624" s="108">
        <v>2.00033068E8</v>
      </c>
      <c r="D624" s="125" t="str">
        <f>IFERROR(VLOOKUP(C624,produto,2,FALSE), "Produto não encontrado")</f>
        <v> PAPEL SULFITE A4 210 X 297MM 75G BRANCO MULTIUSO PACOTE COM 500 FLS</v>
      </c>
      <c r="E624" s="92" t="s">
        <v>528</v>
      </c>
      <c r="F624" s="93">
        <v>1.0</v>
      </c>
      <c r="G624" s="101" t="s">
        <v>586</v>
      </c>
      <c r="H624" s="97"/>
      <c r="I624" s="86"/>
      <c r="J624" s="130"/>
      <c r="K624" s="130"/>
    </row>
    <row r="625" ht="22.5" customHeight="1">
      <c r="A625" s="90">
        <v>45757.0</v>
      </c>
      <c r="B625" s="81" t="str">
        <f t="shared" si="1"/>
        <v>2025-04</v>
      </c>
      <c r="C625" s="124">
        <v>2.0003649E8</v>
      </c>
      <c r="D625" s="125" t="str">
        <f>IFERROR(VLOOKUP(C625,produto,2,FALSE), "Produto não encontrado")</f>
        <v>CLIPS NIQUELADO Nº 2 COM 100 UN</v>
      </c>
      <c r="E625" s="92" t="s">
        <v>528</v>
      </c>
      <c r="F625" s="93">
        <v>1.0</v>
      </c>
      <c r="G625" s="101" t="s">
        <v>591</v>
      </c>
      <c r="H625" s="97"/>
      <c r="I625" s="86"/>
      <c r="J625" s="130"/>
      <c r="K625" s="130"/>
    </row>
    <row r="626" ht="22.5" customHeight="1">
      <c r="A626" s="90">
        <v>45756.0</v>
      </c>
      <c r="B626" s="81" t="str">
        <f t="shared" si="1"/>
        <v>2025-04</v>
      </c>
      <c r="C626" s="108">
        <v>2.00060665E8</v>
      </c>
      <c r="D626" s="125" t="str">
        <f>IFERROR(VLOOKUP(C626,produto,2,FALSE), "Produto não encontrado")</f>
        <v>CORRETIVO LIQUIDO DE 18ML</v>
      </c>
      <c r="E626" s="92" t="s">
        <v>526</v>
      </c>
      <c r="F626" s="93">
        <v>3.0</v>
      </c>
      <c r="G626" s="101" t="s">
        <v>11</v>
      </c>
      <c r="H626" s="97"/>
      <c r="I626" s="86"/>
      <c r="J626" s="130"/>
      <c r="K626" s="130"/>
    </row>
    <row r="627" ht="22.5" customHeight="1">
      <c r="A627" s="90">
        <v>45756.0</v>
      </c>
      <c r="B627" s="81" t="str">
        <f t="shared" si="1"/>
        <v>2025-04</v>
      </c>
      <c r="C627" s="108">
        <v>2.00036656E8</v>
      </c>
      <c r="D627" s="125" t="str">
        <f>IFERROR(VLOOKUP(C627,produto,2,FALSE), "Produto não encontrado")</f>
        <v>FITA ADESIVA TRANSPARENTE 45MM X 50M</v>
      </c>
      <c r="E627" s="92" t="s">
        <v>528</v>
      </c>
      <c r="F627" s="93">
        <v>1.0</v>
      </c>
      <c r="G627" s="101" t="s">
        <v>594</v>
      </c>
      <c r="H627" s="97"/>
      <c r="I627" s="86"/>
      <c r="J627" s="130"/>
      <c r="K627" s="130"/>
    </row>
    <row r="628" ht="22.5" customHeight="1">
      <c r="A628" s="90">
        <v>45756.0</v>
      </c>
      <c r="B628" s="81" t="str">
        <f t="shared" si="1"/>
        <v>2025-04</v>
      </c>
      <c r="C628" s="108">
        <v>2.00036189E8</v>
      </c>
      <c r="D628" s="125" t="str">
        <f>IFERROR(VLOOKUP(C628,produto,2,FALSE), "Produto não encontrado")</f>
        <v>COPO DESCARTAVEL 180ML</v>
      </c>
      <c r="E628" s="92" t="s">
        <v>528</v>
      </c>
      <c r="F628" s="93">
        <v>1.0</v>
      </c>
      <c r="G628" s="50"/>
      <c r="H628" s="51"/>
      <c r="I628" s="86"/>
      <c r="J628" s="130"/>
      <c r="K628" s="130"/>
    </row>
    <row r="629" ht="22.5" customHeight="1">
      <c r="A629" s="90">
        <v>45756.0</v>
      </c>
      <c r="B629" s="81" t="str">
        <f t="shared" si="1"/>
        <v>2025-04</v>
      </c>
      <c r="C629" s="108">
        <v>2.00036577E8</v>
      </c>
      <c r="D629" s="125" t="str">
        <f>IFERROR(VLOOKUP(C629,produto,2,FALSE), "Produto não encontrado")</f>
        <v>GRAMPEADOR</v>
      </c>
      <c r="E629" s="92" t="s">
        <v>528</v>
      </c>
      <c r="F629" s="93">
        <v>1.0</v>
      </c>
      <c r="G629" s="101" t="s">
        <v>591</v>
      </c>
      <c r="H629" s="97"/>
      <c r="I629" s="86"/>
      <c r="J629" s="130"/>
      <c r="K629" s="130"/>
    </row>
    <row r="630" ht="22.5" customHeight="1">
      <c r="A630" s="90">
        <v>45756.0</v>
      </c>
      <c r="B630" s="81" t="str">
        <f t="shared" si="1"/>
        <v>2025-04</v>
      </c>
      <c r="C630" s="108">
        <v>2.00036577E8</v>
      </c>
      <c r="D630" s="125" t="str">
        <f>IFERROR(VLOOKUP(C630,produto,2,FALSE), "Produto não encontrado")</f>
        <v>GRAMPEADOR</v>
      </c>
      <c r="E630" s="92" t="s">
        <v>528</v>
      </c>
      <c r="F630" s="93">
        <v>1.0</v>
      </c>
      <c r="G630" s="50" t="s">
        <v>582</v>
      </c>
      <c r="H630" s="51"/>
      <c r="I630" s="86"/>
      <c r="J630" s="130"/>
      <c r="K630" s="130"/>
    </row>
    <row r="631" ht="22.5" customHeight="1">
      <c r="A631" s="90">
        <v>45756.0</v>
      </c>
      <c r="B631" s="81" t="str">
        <f t="shared" si="1"/>
        <v>2025-04</v>
      </c>
      <c r="C631" s="108">
        <v>2.0003678E8</v>
      </c>
      <c r="D631" s="125" t="str">
        <f>IFERROR(VLOOKUP(C631,produto,2,FALSE), "Produto não encontrado")</f>
        <v>GRAMPO PARA GRAMPEADOR NIQUELADO 26/6 CAIXA COM 5000 PEÇAS</v>
      </c>
      <c r="E631" s="92" t="s">
        <v>528</v>
      </c>
      <c r="F631" s="93">
        <v>1.0</v>
      </c>
      <c r="G631" s="106" t="s">
        <v>547</v>
      </c>
      <c r="H631" s="51"/>
      <c r="I631" s="86"/>
      <c r="J631" s="130"/>
      <c r="K631" s="130"/>
    </row>
    <row r="632" ht="22.5" customHeight="1">
      <c r="A632" s="90">
        <v>45755.0</v>
      </c>
      <c r="B632" s="81" t="str">
        <f t="shared" si="1"/>
        <v>2025-04</v>
      </c>
      <c r="C632" s="108">
        <v>2.00056391E8</v>
      </c>
      <c r="D632" s="125" t="str">
        <f>IFERROR(VLOOKUP(C632,produto,2,FALSE), "Produto não encontrado")</f>
        <v>FITA CREPE DE 48X50MM</v>
      </c>
      <c r="E632" s="92" t="s">
        <v>526</v>
      </c>
      <c r="F632" s="93">
        <v>3.0</v>
      </c>
      <c r="G632" s="101" t="s">
        <v>11</v>
      </c>
      <c r="H632" s="97"/>
      <c r="I632" s="86"/>
      <c r="J632" s="130"/>
      <c r="K632" s="130"/>
    </row>
    <row r="633" ht="22.5" customHeight="1">
      <c r="A633" s="90">
        <v>45755.0</v>
      </c>
      <c r="B633" s="81" t="str">
        <f t="shared" si="1"/>
        <v>2025-04</v>
      </c>
      <c r="C633" s="108">
        <v>2.00037892E8</v>
      </c>
      <c r="D633" s="125" t="str">
        <f>IFERROR(VLOOKUP(C633,produto,2,FALSE), "Produto não encontrado")</f>
        <v>FITA ADESIVA CREPE 19MM X 50M</v>
      </c>
      <c r="E633" s="92" t="s">
        <v>526</v>
      </c>
      <c r="F633" s="93">
        <v>4.0</v>
      </c>
      <c r="G633" s="101" t="s">
        <v>11</v>
      </c>
      <c r="H633" s="97"/>
      <c r="I633" s="86"/>
      <c r="J633" s="130"/>
      <c r="K633" s="130"/>
    </row>
    <row r="634" ht="22.5" customHeight="1">
      <c r="A634" s="90">
        <v>45755.0</v>
      </c>
      <c r="B634" s="81" t="str">
        <f t="shared" si="1"/>
        <v>2025-04</v>
      </c>
      <c r="C634" s="108">
        <v>2.00052513E8</v>
      </c>
      <c r="D634" s="125" t="str">
        <f>IFERROR(VLOOKUP(C634,produto,2,FALSE), "Produto não encontrado")</f>
        <v>PRANCHETA EM MADEIRA 33X23CM</v>
      </c>
      <c r="E634" s="92" t="s">
        <v>526</v>
      </c>
      <c r="F634" s="93">
        <v>2.0</v>
      </c>
      <c r="G634" s="101" t="s">
        <v>11</v>
      </c>
      <c r="H634" s="97"/>
      <c r="I634" s="86"/>
      <c r="J634" s="130"/>
      <c r="K634" s="130"/>
    </row>
    <row r="635" ht="22.5" customHeight="1">
      <c r="A635" s="90">
        <v>45755.0</v>
      </c>
      <c r="B635" s="81" t="str">
        <f t="shared" si="1"/>
        <v>2025-04</v>
      </c>
      <c r="C635" s="108">
        <v>2.00064766E8</v>
      </c>
      <c r="D635" s="125" t="str">
        <f>IFERROR(VLOOKUP(C635,produto,2,FALSE), "Produto não encontrado")</f>
        <v>PASTA COM ELASTICO LONGA 335 X 245 X 55MM</v>
      </c>
      <c r="E635" s="92" t="s">
        <v>526</v>
      </c>
      <c r="F635" s="93">
        <v>20.0</v>
      </c>
      <c r="G635" s="101" t="s">
        <v>11</v>
      </c>
      <c r="H635" s="97"/>
      <c r="I635" s="86"/>
      <c r="J635" s="130"/>
      <c r="K635" s="130"/>
    </row>
    <row r="636" ht="22.5" customHeight="1">
      <c r="A636" s="90">
        <v>45755.0</v>
      </c>
      <c r="B636" s="81" t="str">
        <f t="shared" si="1"/>
        <v>2025-04</v>
      </c>
      <c r="C636" s="108">
        <v>2.00064766E8</v>
      </c>
      <c r="D636" s="125" t="str">
        <f>IFERROR(VLOOKUP(C636,produto,2,FALSE), "Produto não encontrado")</f>
        <v>PASTA COM ELASTICO LONGA 335 X 245 X 55MM</v>
      </c>
      <c r="E636" s="92" t="s">
        <v>526</v>
      </c>
      <c r="F636" s="93">
        <v>7.0</v>
      </c>
      <c r="G636" s="101" t="s">
        <v>11</v>
      </c>
      <c r="H636" s="97"/>
      <c r="I636" s="86"/>
      <c r="J636" s="130"/>
      <c r="K636" s="130"/>
    </row>
    <row r="637" ht="22.5" customHeight="1">
      <c r="A637" s="90">
        <v>45755.0</v>
      </c>
      <c r="B637" s="81" t="str">
        <f t="shared" si="1"/>
        <v>2025-04</v>
      </c>
      <c r="C637" s="108">
        <v>2.00036656E8</v>
      </c>
      <c r="D637" s="125" t="str">
        <f>IFERROR(VLOOKUP(C637,produto,2,FALSE), "Produto não encontrado")</f>
        <v>FITA ADESIVA TRANSPARENTE 45MM X 50M</v>
      </c>
      <c r="E637" s="92" t="s">
        <v>526</v>
      </c>
      <c r="F637" s="93">
        <v>2.0</v>
      </c>
      <c r="G637" s="101" t="s">
        <v>11</v>
      </c>
      <c r="H637" s="97"/>
      <c r="I637" s="86"/>
      <c r="J637" s="130"/>
      <c r="K637" s="130"/>
    </row>
    <row r="638" ht="22.5" customHeight="1">
      <c r="A638" s="90">
        <v>45755.0</v>
      </c>
      <c r="B638" s="81" t="str">
        <f t="shared" si="1"/>
        <v>2025-04</v>
      </c>
      <c r="C638" s="124">
        <v>2.0003649E8</v>
      </c>
      <c r="D638" s="125" t="str">
        <f>IFERROR(VLOOKUP(C638,produto,2,FALSE), "Produto não encontrado")</f>
        <v>CLIPS NIQUELADO Nº 2 COM 100 UN</v>
      </c>
      <c r="E638" s="92" t="s">
        <v>526</v>
      </c>
      <c r="F638" s="93">
        <v>2.0</v>
      </c>
      <c r="G638" s="101" t="s">
        <v>11</v>
      </c>
      <c r="H638" s="97"/>
      <c r="I638" s="86"/>
      <c r="J638" s="130"/>
      <c r="K638" s="130"/>
    </row>
    <row r="639" ht="22.5" customHeight="1">
      <c r="A639" s="90">
        <v>45755.0</v>
      </c>
      <c r="B639" s="81" t="str">
        <f t="shared" si="1"/>
        <v>2025-04</v>
      </c>
      <c r="C639" s="108">
        <v>2.00082939E8</v>
      </c>
      <c r="D639" s="125" t="str">
        <f>IFERROR(VLOOKUP(C639,produto,2,FALSE), "Produto não encontrado")</f>
        <v> BLOCO DE PAPEL AUTO ADESIVO POST IT 38X50MM 100 FOLHAS</v>
      </c>
      <c r="E639" s="92" t="s">
        <v>526</v>
      </c>
      <c r="F639" s="93">
        <v>4.0</v>
      </c>
      <c r="G639" s="101" t="s">
        <v>11</v>
      </c>
      <c r="H639" s="97"/>
      <c r="I639" s="86"/>
      <c r="J639" s="130"/>
      <c r="K639" s="130"/>
    </row>
    <row r="640" ht="15.75" customHeight="1">
      <c r="A640" s="90">
        <v>45755.0</v>
      </c>
      <c r="B640" s="81" t="str">
        <f t="shared" si="1"/>
        <v>2025-04</v>
      </c>
      <c r="C640" s="108">
        <v>2.00036577E8</v>
      </c>
      <c r="D640" s="125" t="str">
        <f>IFERROR(VLOOKUP(C640,produto,2,FALSE), "Produto não encontrado")</f>
        <v>GRAMPEADOR</v>
      </c>
      <c r="E640" s="92" t="s">
        <v>526</v>
      </c>
      <c r="F640" s="93">
        <v>2.0</v>
      </c>
      <c r="G640" s="101" t="s">
        <v>11</v>
      </c>
      <c r="H640" s="97"/>
      <c r="I640" s="86"/>
      <c r="J640" s="130"/>
      <c r="K640" s="130"/>
    </row>
    <row r="641" ht="15.75" customHeight="1">
      <c r="A641" s="90">
        <v>45755.0</v>
      </c>
      <c r="B641" s="81" t="str">
        <f t="shared" si="1"/>
        <v>2025-04</v>
      </c>
      <c r="C641" s="108">
        <v>2.00033068E8</v>
      </c>
      <c r="D641" s="125" t="str">
        <f>IFERROR(VLOOKUP(C641,produto,2,FALSE), "Produto não encontrado")</f>
        <v> PAPEL SULFITE A4 210 X 297MM 75G BRANCO MULTIUSO PACOTE COM 500 FLS</v>
      </c>
      <c r="E641" s="92" t="s">
        <v>526</v>
      </c>
      <c r="F641" s="93">
        <v>3.0</v>
      </c>
      <c r="G641" s="101" t="s">
        <v>11</v>
      </c>
      <c r="H641" s="97"/>
      <c r="I641" s="86"/>
      <c r="J641" s="130"/>
      <c r="K641" s="130"/>
    </row>
    <row r="642" ht="15.75" customHeight="1">
      <c r="A642" s="90">
        <v>45755.0</v>
      </c>
      <c r="B642" s="81" t="str">
        <f t="shared" si="1"/>
        <v>2025-04</v>
      </c>
      <c r="C642" s="108">
        <v>2.00085185E8</v>
      </c>
      <c r="D642" s="125" t="str">
        <f>IFERROR(VLOOKUP(C642,produto,2,FALSE), "Produto não encontrado")</f>
        <v>ESPARADRAPO IMPERMEAVEL 5CM X 4,5M</v>
      </c>
      <c r="E642" s="92" t="s">
        <v>526</v>
      </c>
      <c r="F642" s="93">
        <v>2.0</v>
      </c>
      <c r="G642" s="101" t="s">
        <v>11</v>
      </c>
      <c r="H642" s="97"/>
      <c r="I642" s="86"/>
      <c r="J642" s="130"/>
      <c r="K642" s="130"/>
    </row>
    <row r="643" ht="15.75" customHeight="1">
      <c r="A643" s="90">
        <v>45755.0</v>
      </c>
      <c r="B643" s="81" t="str">
        <f t="shared" si="1"/>
        <v>2025-04</v>
      </c>
      <c r="C643" s="108">
        <v>2.0004416E8</v>
      </c>
      <c r="D643" s="125" t="str">
        <f>IFERROR(VLOOKUP(C643,produto,2,FALSE), "Produto não encontrado")</f>
        <v>DESENGRIPANTE SPRAY 300ML</v>
      </c>
      <c r="E643" s="92" t="s">
        <v>526</v>
      </c>
      <c r="F643" s="93">
        <v>2.0</v>
      </c>
      <c r="G643" s="101" t="s">
        <v>11</v>
      </c>
      <c r="H643" s="97"/>
      <c r="I643" s="86"/>
      <c r="J643" s="130"/>
      <c r="K643" s="130"/>
    </row>
    <row r="644" ht="15.75" customHeight="1">
      <c r="A644" s="90">
        <v>45755.0</v>
      </c>
      <c r="B644" s="81" t="str">
        <f t="shared" si="1"/>
        <v>2025-04</v>
      </c>
      <c r="C644" s="108">
        <v>2.00052513E8</v>
      </c>
      <c r="D644" s="125" t="str">
        <f>IFERROR(VLOOKUP(C644,produto,2,FALSE), "Produto não encontrado")</f>
        <v>PRANCHETA EM MADEIRA 33X23CM</v>
      </c>
      <c r="E644" s="92" t="s">
        <v>528</v>
      </c>
      <c r="F644" s="93">
        <v>2.0</v>
      </c>
      <c r="G644" s="106" t="s">
        <v>571</v>
      </c>
      <c r="H644" s="97"/>
      <c r="I644" s="86"/>
      <c r="J644" s="130"/>
      <c r="K644" s="130"/>
    </row>
    <row r="645" ht="15.75" customHeight="1">
      <c r="A645" s="90">
        <v>45755.0</v>
      </c>
      <c r="B645" s="81" t="str">
        <f t="shared" si="1"/>
        <v>2025-04</v>
      </c>
      <c r="C645" s="124">
        <v>2.0003649E8</v>
      </c>
      <c r="D645" s="125" t="str">
        <f>IFERROR(VLOOKUP(C645,produto,2,FALSE), "Produto não encontrado")</f>
        <v>CLIPS NIQUELADO Nº 2 COM 100 UN</v>
      </c>
      <c r="E645" s="92" t="s">
        <v>528</v>
      </c>
      <c r="F645" s="93">
        <v>1.0</v>
      </c>
      <c r="G645" s="101" t="s">
        <v>582</v>
      </c>
      <c r="H645" s="97"/>
      <c r="I645" s="86"/>
      <c r="J645" s="130"/>
      <c r="K645" s="130"/>
    </row>
    <row r="646" ht="15.75" customHeight="1">
      <c r="A646" s="90">
        <v>45755.0</v>
      </c>
      <c r="B646" s="81" t="str">
        <f t="shared" si="1"/>
        <v>2025-04</v>
      </c>
      <c r="C646" s="108">
        <v>2.00082939E8</v>
      </c>
      <c r="D646" s="125" t="str">
        <f>IFERROR(VLOOKUP(C646,produto,2,FALSE), "Produto não encontrado")</f>
        <v> BLOCO DE PAPEL AUTO ADESIVO POST IT 38X50MM 100 FOLHAS</v>
      </c>
      <c r="E646" s="92" t="s">
        <v>528</v>
      </c>
      <c r="F646" s="93">
        <v>2.0</v>
      </c>
      <c r="G646" s="101"/>
      <c r="H646" s="97"/>
      <c r="I646" s="86"/>
      <c r="J646" s="130"/>
      <c r="K646" s="130"/>
    </row>
    <row r="647" ht="15.75" customHeight="1">
      <c r="A647" s="90">
        <v>45748.0</v>
      </c>
      <c r="B647" s="81" t="str">
        <f t="shared" si="1"/>
        <v>2025-04</v>
      </c>
      <c r="C647" s="108">
        <v>2.00001052E8</v>
      </c>
      <c r="D647" s="125" t="str">
        <f>IFERROR(VLOOKUP(C647,produto,2,FALSE), "Produto não encontrado")</f>
        <v>REGUA CRISTAL 50 CM</v>
      </c>
      <c r="E647" s="92" t="s">
        <v>526</v>
      </c>
      <c r="F647" s="93">
        <v>2.0</v>
      </c>
      <c r="G647" s="101" t="s">
        <v>11</v>
      </c>
      <c r="H647" s="97"/>
      <c r="I647" s="86"/>
      <c r="J647" s="130"/>
      <c r="K647" s="130"/>
    </row>
    <row r="648" ht="15.75" customHeight="1">
      <c r="A648" s="90">
        <v>45748.0</v>
      </c>
      <c r="B648" s="81" t="str">
        <f t="shared" si="1"/>
        <v>2025-04</v>
      </c>
      <c r="C648" s="108">
        <v>2.00036189E8</v>
      </c>
      <c r="D648" s="125" t="str">
        <f>IFERROR(VLOOKUP(C648,produto,2,FALSE), "Produto não encontrado")</f>
        <v>COPO DESCARTAVEL 180ML</v>
      </c>
      <c r="E648" s="92" t="s">
        <v>526</v>
      </c>
      <c r="F648" s="93">
        <v>4.0</v>
      </c>
      <c r="G648" s="101"/>
      <c r="H648" s="97"/>
      <c r="I648" s="86"/>
      <c r="J648" s="130"/>
      <c r="K648" s="130"/>
    </row>
    <row r="649" ht="15.75" customHeight="1">
      <c r="A649" s="90">
        <v>45748.0</v>
      </c>
      <c r="B649" s="81" t="str">
        <f t="shared" si="1"/>
        <v>2025-04</v>
      </c>
      <c r="C649" s="108">
        <v>2.0003678E8</v>
      </c>
      <c r="D649" s="125" t="str">
        <f>IFERROR(VLOOKUP(C649,produto,2,FALSE), "Produto não encontrado")</f>
        <v>GRAMPO PARA GRAMPEADOR NIQUELADO 26/6 CAIXA COM 5000 PEÇAS</v>
      </c>
      <c r="E649" s="92" t="s">
        <v>526</v>
      </c>
      <c r="F649" s="93">
        <v>5.0</v>
      </c>
      <c r="G649" s="101" t="s">
        <v>11</v>
      </c>
      <c r="H649" s="97"/>
      <c r="I649" s="86"/>
      <c r="J649" s="130"/>
      <c r="K649" s="130"/>
    </row>
    <row r="650" ht="15.75" customHeight="1">
      <c r="A650" s="90">
        <v>45748.0</v>
      </c>
      <c r="B650" s="81" t="str">
        <f t="shared" si="1"/>
        <v>2025-04</v>
      </c>
      <c r="C650" s="108" t="s">
        <v>265</v>
      </c>
      <c r="D650" s="125" t="str">
        <f>IFERROR(VLOOKUP(C650,produto,2,FALSE), "Produto não encontrado")</f>
        <v>Estopa Branca 150g Para Polimentos em Geral</v>
      </c>
      <c r="E650" s="92" t="s">
        <v>526</v>
      </c>
      <c r="F650" s="93">
        <v>6.0</v>
      </c>
      <c r="G650" s="101" t="s">
        <v>11</v>
      </c>
      <c r="H650" s="97"/>
      <c r="I650" s="86"/>
      <c r="J650" s="130"/>
      <c r="K650" s="130"/>
    </row>
    <row r="651" ht="15.75" customHeight="1">
      <c r="A651" s="90">
        <v>45748.0</v>
      </c>
      <c r="B651" s="81" t="str">
        <f t="shared" si="1"/>
        <v>2025-04</v>
      </c>
      <c r="C651" s="108">
        <v>2.00036202E8</v>
      </c>
      <c r="D651" s="125" t="str">
        <f>IFERROR(VLOOKUP(C651,produto,2,FALSE), "Produto não encontrado")</f>
        <v>CANETA ESFEROGRAFICA PONTA MEDIA COR AZUL</v>
      </c>
      <c r="E651" s="92" t="s">
        <v>528</v>
      </c>
      <c r="F651" s="93">
        <v>1.0</v>
      </c>
      <c r="G651" s="50" t="s">
        <v>533</v>
      </c>
      <c r="H651" s="51"/>
      <c r="I651" s="86"/>
      <c r="J651" s="130"/>
      <c r="K651" s="130"/>
    </row>
    <row r="652" ht="15.75" customHeight="1">
      <c r="A652" s="90">
        <v>45748.0</v>
      </c>
      <c r="B652" s="81" t="str">
        <f t="shared" si="1"/>
        <v>2025-04</v>
      </c>
      <c r="C652" s="108">
        <v>2.00036733E8</v>
      </c>
      <c r="D652" s="125" t="str">
        <f>IFERROR(VLOOKUP(C652,produto,2,FALSE), "Produto não encontrado")</f>
        <v> CANETA MARCA TEXTO PLASTICA COR AMARELO</v>
      </c>
      <c r="E652" s="92" t="s">
        <v>528</v>
      </c>
      <c r="F652" s="93">
        <v>1.0</v>
      </c>
      <c r="G652" s="50" t="s">
        <v>533</v>
      </c>
      <c r="H652" s="51"/>
      <c r="I652" s="86"/>
      <c r="J652" s="130"/>
      <c r="K652" s="130"/>
    </row>
    <row r="653" ht="15.75" customHeight="1">
      <c r="A653" s="90">
        <v>45742.0</v>
      </c>
      <c r="B653" s="81" t="str">
        <f t="shared" si="1"/>
        <v>2025-03</v>
      </c>
      <c r="C653" s="107">
        <v>2.00000022E8</v>
      </c>
      <c r="D653" s="125" t="str">
        <f>IFERROR(VLOOKUP(C653,produto,2,FALSE), "Produto não encontrado")</f>
        <v>VELCRO FEMEA 50mm AZUL R V443</v>
      </c>
      <c r="E653" s="92" t="s">
        <v>526</v>
      </c>
      <c r="F653" s="93">
        <v>1.0</v>
      </c>
      <c r="G653" s="101" t="s">
        <v>11</v>
      </c>
      <c r="H653" s="97"/>
      <c r="I653" s="86"/>
      <c r="J653" s="130"/>
      <c r="K653" s="130"/>
    </row>
    <row r="654" ht="15.75" customHeight="1">
      <c r="A654" s="90">
        <v>45742.0</v>
      </c>
      <c r="B654" s="81" t="str">
        <f t="shared" si="1"/>
        <v>2025-03</v>
      </c>
      <c r="C654" s="108" t="s">
        <v>222</v>
      </c>
      <c r="D654" s="125" t="str">
        <f>IFERROR(VLOOKUP(C654,produto,2,FALSE), "Produto não encontrado")</f>
        <v>VELCRO FEMEA  50mm ROSA</v>
      </c>
      <c r="E654" s="92" t="s">
        <v>526</v>
      </c>
      <c r="F654" s="93">
        <v>1.0</v>
      </c>
      <c r="G654" s="101" t="s">
        <v>11</v>
      </c>
      <c r="H654" s="97"/>
      <c r="I654" s="86"/>
      <c r="J654" s="130"/>
      <c r="K654" s="130"/>
    </row>
    <row r="655" ht="15.75" customHeight="1">
      <c r="A655" s="90">
        <v>45742.0</v>
      </c>
      <c r="B655" s="81" t="str">
        <f t="shared" si="1"/>
        <v>2025-03</v>
      </c>
      <c r="C655" s="107">
        <v>2.00000024E8</v>
      </c>
      <c r="D655" s="125" t="str">
        <f>IFERROR(VLOOKUP(C655,produto,2,FALSE), "Produto não encontrado")</f>
        <v>PLACA TERMOPLASTICA -  ORFIT ECO BLACK NS 45 x 60cm x 2.4 mm </v>
      </c>
      <c r="E655" s="92" t="s">
        <v>526</v>
      </c>
      <c r="F655" s="93">
        <v>3.0</v>
      </c>
      <c r="G655" s="101" t="s">
        <v>11</v>
      </c>
      <c r="H655" s="97"/>
      <c r="I655" s="86"/>
      <c r="J655" s="130"/>
      <c r="K655" s="130"/>
    </row>
    <row r="656" ht="15.75" customHeight="1">
      <c r="A656" s="90">
        <v>45742.0</v>
      </c>
      <c r="B656" s="81" t="str">
        <f t="shared" si="1"/>
        <v>2025-03</v>
      </c>
      <c r="C656" s="124" t="s">
        <v>206</v>
      </c>
      <c r="D656" s="125" t="str">
        <f>IFERROR(VLOOKUP(C656,produto,2,FALSE), "Produto não encontrado")</f>
        <v>PLACA TERMOPLASTICA - ORFIT ECO BLACK NS 45 x 60cm x 3.2mm MINI Perforated</v>
      </c>
      <c r="E656" s="92" t="s">
        <v>526</v>
      </c>
      <c r="F656" s="93">
        <v>2.0</v>
      </c>
      <c r="G656" s="101" t="s">
        <v>11</v>
      </c>
      <c r="H656" s="97"/>
      <c r="I656" s="86"/>
      <c r="J656" s="130"/>
      <c r="K656" s="130"/>
    </row>
    <row r="657" ht="15.75" customHeight="1">
      <c r="A657" s="90">
        <v>45742.0</v>
      </c>
      <c r="B657" s="81" t="str">
        <f t="shared" si="1"/>
        <v>2025-03</v>
      </c>
      <c r="C657" s="103">
        <v>2.00000026E8</v>
      </c>
      <c r="D657" s="125" t="str">
        <f>IFERROR(VLOOKUP(C657,produto,2,FALSE), "Produto não encontrado")</f>
        <v>PLACA TERMOPLASTICA - ORFIT ECO NATUREL 45 x 60 cm 2.4 mm </v>
      </c>
      <c r="E657" s="92" t="s">
        <v>526</v>
      </c>
      <c r="F657" s="93">
        <v>7.0</v>
      </c>
      <c r="G657" s="101" t="s">
        <v>11</v>
      </c>
      <c r="H657" s="97"/>
      <c r="I657" s="86"/>
      <c r="J657" s="130"/>
      <c r="K657" s="130"/>
    </row>
    <row r="658" ht="15.75" customHeight="1">
      <c r="A658" s="90">
        <v>45742.0</v>
      </c>
      <c r="B658" s="81" t="str">
        <f t="shared" si="1"/>
        <v>2025-03</v>
      </c>
      <c r="C658" s="124" t="s">
        <v>211</v>
      </c>
      <c r="D658" s="125" t="str">
        <f>IFERROR(VLOOKUP(C658,produto,2,FALSE), "Produto não encontrado")</f>
        <v>PLACA TERMOPLASTICA - ORFIT ECO NATUREL 45 x 60cm x 3.2mm MINI Perforated</v>
      </c>
      <c r="E658" s="92" t="s">
        <v>526</v>
      </c>
      <c r="F658" s="93">
        <v>2.0</v>
      </c>
      <c r="G658" s="50" t="s">
        <v>11</v>
      </c>
      <c r="H658" s="51"/>
      <c r="I658" s="86"/>
      <c r="J658" s="130"/>
      <c r="K658" s="130"/>
    </row>
    <row r="659" ht="15.75" customHeight="1">
      <c r="A659" s="90">
        <v>45742.0</v>
      </c>
      <c r="B659" s="81" t="str">
        <f t="shared" si="1"/>
        <v>2025-03</v>
      </c>
      <c r="C659" s="108" t="s">
        <v>602</v>
      </c>
      <c r="D659" s="125" t="str">
        <f>IFERROR(VLOOKUP(C659,produto,2,FALSE), "Produto não encontrado")</f>
        <v>Produto não encontrado</v>
      </c>
      <c r="E659" s="92" t="s">
        <v>528</v>
      </c>
      <c r="F659" s="93">
        <v>1.0</v>
      </c>
      <c r="G659" s="101" t="s">
        <v>579</v>
      </c>
      <c r="H659" s="97"/>
      <c r="I659" s="86"/>
      <c r="J659" s="130"/>
      <c r="K659" s="130"/>
    </row>
    <row r="660" ht="15.75" customHeight="1">
      <c r="A660" s="90">
        <v>45742.0</v>
      </c>
      <c r="B660" s="81" t="str">
        <f t="shared" si="1"/>
        <v>2025-03</v>
      </c>
      <c r="C660" s="124" t="s">
        <v>211</v>
      </c>
      <c r="D660" s="125" t="str">
        <f>IFERROR(VLOOKUP(C660,produto,2,FALSE), "Produto não encontrado")</f>
        <v>PLACA TERMOPLASTICA - ORFIT ECO NATUREL 45 x 60cm x 3.2mm MINI Perforated</v>
      </c>
      <c r="E660" s="92" t="s">
        <v>528</v>
      </c>
      <c r="F660" s="93">
        <v>1.0</v>
      </c>
      <c r="G660" s="101" t="s">
        <v>579</v>
      </c>
      <c r="H660" s="97"/>
      <c r="I660" s="86"/>
      <c r="J660" s="130"/>
      <c r="K660" s="130"/>
    </row>
    <row r="661" ht="15.75" customHeight="1">
      <c r="A661" s="131">
        <v>45722.0</v>
      </c>
      <c r="B661" s="81" t="str">
        <f t="shared" si="1"/>
        <v>2025-03</v>
      </c>
      <c r="C661" s="107">
        <v>2.00036201E8</v>
      </c>
      <c r="D661" s="125" t="str">
        <f>IFERROR(VLOOKUP(C661,produto,2,FALSE), "Produto não encontrado")</f>
        <v>CANETA ESFEROGRAFICA PONTA MEDIA COR PRETA</v>
      </c>
      <c r="E661" s="132" t="s">
        <v>526</v>
      </c>
      <c r="F661" s="133">
        <v>5.0</v>
      </c>
      <c r="G661" s="101" t="s">
        <v>11</v>
      </c>
      <c r="H661" s="97"/>
      <c r="I661" s="86"/>
      <c r="J661" s="130"/>
      <c r="K661" s="130"/>
    </row>
    <row r="662" ht="15.75" customHeight="1">
      <c r="A662" s="90">
        <v>45720.0</v>
      </c>
      <c r="B662" s="81" t="str">
        <f t="shared" si="1"/>
        <v>2025-03</v>
      </c>
      <c r="C662" s="124">
        <v>2.0003649E8</v>
      </c>
      <c r="D662" s="125" t="str">
        <f>IFERROR(VLOOKUP(C662,produto,2,FALSE), "Produto não encontrado")</f>
        <v>CLIPS NIQUELADO Nº 2 COM 100 UN</v>
      </c>
      <c r="E662" s="92" t="s">
        <v>526</v>
      </c>
      <c r="F662" s="93">
        <v>3.0</v>
      </c>
      <c r="G662" s="101" t="s">
        <v>11</v>
      </c>
      <c r="H662" s="97"/>
      <c r="I662" s="86"/>
      <c r="J662" s="130"/>
      <c r="K662" s="130"/>
    </row>
    <row r="663" ht="15.75" customHeight="1">
      <c r="A663" s="90">
        <v>45720.0</v>
      </c>
      <c r="B663" s="81" t="str">
        <f t="shared" si="1"/>
        <v>2025-03</v>
      </c>
      <c r="C663" s="105">
        <v>2.00085185E8</v>
      </c>
      <c r="D663" s="125" t="str">
        <f>IFERROR(VLOOKUP(C663,produto,2,FALSE), "Produto não encontrado")</f>
        <v>ESPARADRAPO IMPERMEAVEL 5CM X 4,5M</v>
      </c>
      <c r="E663" s="92" t="s">
        <v>526</v>
      </c>
      <c r="F663" s="93">
        <v>3.0</v>
      </c>
      <c r="G663" s="101" t="s">
        <v>11</v>
      </c>
      <c r="H663" s="97"/>
      <c r="I663" s="86"/>
      <c r="J663" s="130"/>
      <c r="K663" s="130"/>
    </row>
    <row r="664" ht="15.75" customHeight="1">
      <c r="A664" s="90">
        <v>45720.0</v>
      </c>
      <c r="B664" s="81" t="str">
        <f t="shared" si="1"/>
        <v>2025-03</v>
      </c>
      <c r="C664" s="108">
        <v>2.00033068E8</v>
      </c>
      <c r="D664" s="125" t="str">
        <f>IFERROR(VLOOKUP(C664,produto,2,FALSE), "Produto não encontrado")</f>
        <v> PAPEL SULFITE A4 210 X 297MM 75G BRANCO MULTIUSO PACOTE COM 500 FLS</v>
      </c>
      <c r="E664" s="92" t="s">
        <v>528</v>
      </c>
      <c r="F664" s="93">
        <v>4.0</v>
      </c>
      <c r="G664" s="101" t="s">
        <v>586</v>
      </c>
      <c r="H664" s="97"/>
      <c r="I664" s="86"/>
      <c r="J664" s="130"/>
      <c r="K664" s="130"/>
    </row>
    <row r="665" ht="15.75" customHeight="1">
      <c r="A665" s="90">
        <v>45720.0</v>
      </c>
      <c r="B665" s="81" t="str">
        <f t="shared" si="1"/>
        <v>2025-03</v>
      </c>
      <c r="C665" s="108">
        <v>2.00062977E8</v>
      </c>
      <c r="D665" s="125" t="str">
        <f>IFERROR(VLOOKUP(C665,produto,2,FALSE), "Produto não encontrado")</f>
        <v>TINTA PARA CARIMBO COR AZUL DE 40ML</v>
      </c>
      <c r="E665" s="92" t="s">
        <v>528</v>
      </c>
      <c r="F665" s="93">
        <v>1.0</v>
      </c>
      <c r="G665" s="50" t="s">
        <v>582</v>
      </c>
      <c r="H665" s="51"/>
      <c r="I665" s="86"/>
      <c r="J665" s="130"/>
      <c r="K665" s="130"/>
    </row>
    <row r="666" ht="15.75" customHeight="1">
      <c r="A666" s="90">
        <v>45720.0</v>
      </c>
      <c r="B666" s="81" t="str">
        <f t="shared" si="1"/>
        <v>2025-03</v>
      </c>
      <c r="C666" s="108">
        <v>2.00036656E8</v>
      </c>
      <c r="D666" s="125" t="str">
        <f>IFERROR(VLOOKUP(C666,produto,2,FALSE), "Produto não encontrado")</f>
        <v>FITA ADESIVA TRANSPARENTE 45MM X 50M</v>
      </c>
      <c r="E666" s="132" t="s">
        <v>528</v>
      </c>
      <c r="F666" s="133">
        <v>2.0</v>
      </c>
      <c r="G666" s="101"/>
      <c r="H666" s="97"/>
      <c r="I666" s="86"/>
      <c r="J666" s="130"/>
      <c r="K666" s="130"/>
    </row>
    <row r="667" ht="15.75" customHeight="1">
      <c r="A667" s="131">
        <v>45717.0</v>
      </c>
      <c r="B667" s="81" t="str">
        <f t="shared" si="1"/>
        <v>2025-03</v>
      </c>
      <c r="C667" s="108">
        <v>2.00061889E8</v>
      </c>
      <c r="D667" s="125" t="str">
        <f>IFERROR(VLOOKUP(C667,produto,2,FALSE), "Produto não encontrado")</f>
        <v>MASCARA DE PROTEÇÃO PFF2 FILTRO N95( BRANCA)</v>
      </c>
      <c r="E667" s="132" t="s">
        <v>526</v>
      </c>
      <c r="F667" s="133">
        <v>12.0</v>
      </c>
      <c r="G667" s="101" t="s">
        <v>11</v>
      </c>
      <c r="H667" s="97"/>
      <c r="I667" s="86"/>
      <c r="J667" s="130"/>
      <c r="K667" s="130"/>
    </row>
    <row r="668" ht="15.75" customHeight="1">
      <c r="A668" s="90">
        <v>45717.0</v>
      </c>
      <c r="B668" s="81" t="str">
        <f t="shared" si="1"/>
        <v>2025-03</v>
      </c>
      <c r="C668" s="124">
        <v>2.00075793E8</v>
      </c>
      <c r="D668" s="125" t="str">
        <f>IFERROR(VLOOKUP(C668,produto,2,FALSE), "Produto não encontrado")</f>
        <v>MASCARA DE PROTEÇÃO PFF2 FILTRO N95 COM VALVULA SUPER SAFETY (azul)</v>
      </c>
      <c r="E668" s="92" t="s">
        <v>526</v>
      </c>
      <c r="F668" s="93">
        <v>15.0</v>
      </c>
      <c r="G668" s="101" t="s">
        <v>11</v>
      </c>
      <c r="H668" s="97"/>
      <c r="I668" s="86"/>
      <c r="J668" s="130"/>
      <c r="K668" s="130"/>
    </row>
    <row r="669" ht="15.75" customHeight="1">
      <c r="A669" s="90">
        <v>45717.0</v>
      </c>
      <c r="B669" s="81" t="str">
        <f t="shared" si="1"/>
        <v>2025-03</v>
      </c>
      <c r="C669" s="124">
        <v>2.00037491E8</v>
      </c>
      <c r="D669" s="125" t="str">
        <f>IFERROR(VLOOKUP(C669,produto,2,FALSE), "Produto não encontrado")</f>
        <v>MASCARA CIRURGICA TRIPLA</v>
      </c>
      <c r="E669" s="92" t="s">
        <v>526</v>
      </c>
      <c r="F669" s="93">
        <v>2.0</v>
      </c>
      <c r="G669" s="101" t="s">
        <v>11</v>
      </c>
      <c r="H669" s="97"/>
      <c r="I669" s="86"/>
      <c r="J669" s="130"/>
      <c r="K669" s="130"/>
    </row>
    <row r="670" ht="15.75" customHeight="1">
      <c r="A670" s="90">
        <v>45717.0</v>
      </c>
      <c r="B670" s="81" t="str">
        <f t="shared" si="1"/>
        <v>2025-03</v>
      </c>
      <c r="C670" s="124">
        <v>2.00052481E8</v>
      </c>
      <c r="D670" s="125" t="str">
        <f>IFERROR(VLOOKUP(C670,produto,2,FALSE), "Produto não encontrado")</f>
        <v>PROTETOR AURICULAR TIPO CONCHA</v>
      </c>
      <c r="E670" s="92" t="s">
        <v>526</v>
      </c>
      <c r="F670" s="93">
        <v>1.0</v>
      </c>
      <c r="G670" s="101" t="s">
        <v>11</v>
      </c>
      <c r="H670" s="97"/>
      <c r="I670" s="86"/>
      <c r="J670" s="130"/>
      <c r="K670" s="130"/>
    </row>
    <row r="671" ht="15.75" customHeight="1">
      <c r="A671" s="90">
        <v>45717.0</v>
      </c>
      <c r="B671" s="81" t="str">
        <f t="shared" si="1"/>
        <v>2025-03</v>
      </c>
      <c r="C671" s="124">
        <v>2.0005248E8</v>
      </c>
      <c r="D671" s="125" t="str">
        <f>IFERROR(VLOOKUP(C671,produto,2,FALSE), "Produto não encontrado")</f>
        <v>PROTETOR AURICULAR DE SILICONE TIPO PLUG</v>
      </c>
      <c r="E671" s="92" t="s">
        <v>526</v>
      </c>
      <c r="F671" s="93">
        <v>1.0</v>
      </c>
      <c r="G671" s="101" t="s">
        <v>11</v>
      </c>
      <c r="H671" s="97"/>
      <c r="I671" s="86"/>
      <c r="J671" s="130"/>
      <c r="K671" s="130"/>
    </row>
    <row r="672" ht="15.75" customHeight="1">
      <c r="A672" s="90">
        <v>45717.0</v>
      </c>
      <c r="B672" s="81" t="str">
        <f t="shared" si="1"/>
        <v>2025-03</v>
      </c>
      <c r="C672" s="108">
        <v>2.00065969E8</v>
      </c>
      <c r="D672" s="125" t="str">
        <f>IFERROR(VLOOKUP(C672,produto,2,FALSE), "Produto não encontrado")</f>
        <v>OCULOS DE PROTEÇÃO JAGUAR</v>
      </c>
      <c r="E672" s="92" t="s">
        <v>526</v>
      </c>
      <c r="F672" s="93">
        <v>4.0</v>
      </c>
      <c r="G672" s="101" t="s">
        <v>11</v>
      </c>
      <c r="H672" s="97"/>
      <c r="I672" s="86"/>
      <c r="J672" s="130"/>
      <c r="K672" s="130"/>
    </row>
    <row r="673" ht="15.75" customHeight="1">
      <c r="A673" s="90">
        <v>45717.0</v>
      </c>
      <c r="B673" s="81" t="str">
        <f t="shared" si="1"/>
        <v>2025-03</v>
      </c>
      <c r="C673" s="107">
        <v>2.00076172E8</v>
      </c>
      <c r="D673" s="125" t="str">
        <f>IFERROR(VLOOKUP(C673,produto,2,FALSE), "Produto não encontrado")</f>
        <v>LUVA DE VINIL G(9) COM 100 UND</v>
      </c>
      <c r="E673" s="92" t="s">
        <v>526</v>
      </c>
      <c r="F673" s="93">
        <v>3.0</v>
      </c>
      <c r="G673" s="101" t="s">
        <v>11</v>
      </c>
      <c r="H673" s="97"/>
      <c r="I673" s="86"/>
      <c r="J673" s="130"/>
      <c r="K673" s="130"/>
    </row>
    <row r="674" ht="15.75" customHeight="1">
      <c r="A674" s="90">
        <v>45717.0</v>
      </c>
      <c r="B674" s="81" t="str">
        <f t="shared" si="1"/>
        <v>2025-03</v>
      </c>
      <c r="C674" s="107">
        <v>2.00052413E8</v>
      </c>
      <c r="D674" s="125" t="str">
        <f>IFERROR(VLOOKUP(C674,produto,2,FALSE), "Produto não encontrado")</f>
        <v>LUVA LATEX P COM 100 UND</v>
      </c>
      <c r="E674" s="92" t="s">
        <v>526</v>
      </c>
      <c r="F674" s="93">
        <v>1.0</v>
      </c>
      <c r="G674" s="101" t="s">
        <v>11</v>
      </c>
      <c r="H674" s="97"/>
      <c r="I674" s="86"/>
      <c r="J674" s="130"/>
      <c r="K674" s="130"/>
    </row>
    <row r="675" ht="15.75" customHeight="1">
      <c r="A675" s="90">
        <v>45717.0</v>
      </c>
      <c r="B675" s="81" t="str">
        <f t="shared" si="1"/>
        <v>2025-03</v>
      </c>
      <c r="C675" s="108">
        <v>2.00005885E8</v>
      </c>
      <c r="D675" s="125" t="str">
        <f>IFERROR(VLOOKUP(C675,produto,2,FALSE), "Produto não encontrado")</f>
        <v>Produto não encontrado</v>
      </c>
      <c r="E675" s="92" t="s">
        <v>526</v>
      </c>
      <c r="F675" s="93">
        <v>1.0</v>
      </c>
      <c r="G675" s="101" t="s">
        <v>11</v>
      </c>
      <c r="H675" s="97"/>
      <c r="I675" s="86"/>
      <c r="J675" s="130"/>
      <c r="K675" s="130"/>
    </row>
    <row r="676" ht="15.75" customHeight="1">
      <c r="A676" s="90">
        <v>45717.0</v>
      </c>
      <c r="B676" s="81" t="str">
        <f t="shared" si="1"/>
        <v>2025-03</v>
      </c>
      <c r="C676" s="105">
        <v>2.00036656E8</v>
      </c>
      <c r="D676" s="125" t="str">
        <f>IFERROR(VLOOKUP(C676,produto,2,FALSE), "Produto não encontrado")</f>
        <v>FITA ADESIVA TRANSPARENTE 45MM X 50M</v>
      </c>
      <c r="E676" s="92" t="s">
        <v>526</v>
      </c>
      <c r="F676" s="93">
        <v>3.0</v>
      </c>
      <c r="G676" s="101" t="s">
        <v>11</v>
      </c>
      <c r="H676" s="97"/>
      <c r="I676" s="86"/>
      <c r="J676" s="130"/>
      <c r="K676" s="130"/>
    </row>
    <row r="677" ht="15.75" customHeight="1">
      <c r="A677" s="90">
        <v>45717.0</v>
      </c>
      <c r="B677" s="81" t="str">
        <f t="shared" si="1"/>
        <v>2025-03</v>
      </c>
      <c r="C677" s="108">
        <v>2.00036189E8</v>
      </c>
      <c r="D677" s="125" t="str">
        <f>IFERROR(VLOOKUP(C677,produto,2,FALSE), "Produto não encontrado")</f>
        <v>COPO DESCARTAVEL 180ML</v>
      </c>
      <c r="E677" s="92" t="s">
        <v>526</v>
      </c>
      <c r="F677" s="93">
        <v>9.0</v>
      </c>
      <c r="G677" s="101"/>
      <c r="H677" s="97"/>
      <c r="I677" s="86"/>
      <c r="J677" s="130"/>
      <c r="K677" s="130"/>
    </row>
    <row r="678" ht="15.75" customHeight="1">
      <c r="A678" s="90">
        <v>45717.0</v>
      </c>
      <c r="B678" s="81" t="str">
        <f t="shared" si="1"/>
        <v>2025-03</v>
      </c>
      <c r="C678" s="108">
        <v>2.00052793E8</v>
      </c>
      <c r="D678" s="125" t="str">
        <f>IFERROR(VLOOKUP(C678,produto,2,FALSE), "Produto não encontrado")</f>
        <v>CORRETIVO EM FITA 5MMX12M</v>
      </c>
      <c r="E678" s="92" t="s">
        <v>526</v>
      </c>
      <c r="F678" s="93">
        <v>3.0</v>
      </c>
      <c r="G678" s="101" t="s">
        <v>11</v>
      </c>
      <c r="H678" s="97"/>
      <c r="I678" s="86"/>
      <c r="J678" s="130"/>
      <c r="K678" s="130"/>
    </row>
    <row r="679" ht="15.75" customHeight="1">
      <c r="A679" s="90">
        <v>45717.0</v>
      </c>
      <c r="B679" s="81" t="str">
        <f t="shared" si="1"/>
        <v>2025-03</v>
      </c>
      <c r="C679" s="107">
        <v>2.00069551E8</v>
      </c>
      <c r="D679" s="125" t="str">
        <f>IFERROR(VLOOKUP(C679,produto,2,FALSE), "Produto não encontrado")</f>
        <v>ALFINETE MARCADOR DE MAPA 8MM TIPO BOLA EM PLASTICO 50UN</v>
      </c>
      <c r="E679" s="92" t="s">
        <v>526</v>
      </c>
      <c r="F679" s="93">
        <v>1.0</v>
      </c>
      <c r="G679" s="101" t="s">
        <v>11</v>
      </c>
      <c r="H679" s="97"/>
      <c r="I679" s="86"/>
      <c r="J679" s="130"/>
      <c r="K679" s="130"/>
    </row>
    <row r="680" ht="15.75" customHeight="1">
      <c r="A680" s="90">
        <v>45717.0</v>
      </c>
      <c r="B680" s="81" t="str">
        <f t="shared" si="1"/>
        <v>2025-03</v>
      </c>
      <c r="C680" s="103">
        <v>2.00043234E8</v>
      </c>
      <c r="D680" s="125" t="str">
        <f>IFERROR(VLOOKUP(C680,produto,2,FALSE), "Produto não encontrado")</f>
        <v>ALFINETE PARA COSTURA CABO FINO Nº29</v>
      </c>
      <c r="E680" s="92" t="s">
        <v>526</v>
      </c>
      <c r="F680" s="93">
        <v>3.0</v>
      </c>
      <c r="G680" s="101" t="s">
        <v>11</v>
      </c>
      <c r="H680" s="97"/>
      <c r="I680" s="86"/>
      <c r="J680" s="130"/>
      <c r="K680" s="130"/>
    </row>
    <row r="681" ht="15.75" customHeight="1">
      <c r="A681" s="90">
        <v>45717.0</v>
      </c>
      <c r="B681" s="81" t="str">
        <f t="shared" si="1"/>
        <v>2025-03</v>
      </c>
      <c r="C681" s="107">
        <v>2.00037413E8</v>
      </c>
      <c r="D681" s="125" t="str">
        <f>IFERROR(VLOOKUP(C681,produto,2,FALSE), "Produto não encontrado")</f>
        <v>CLIPS NIQUELADO Nº 3 COM 50 UN</v>
      </c>
      <c r="E681" s="92" t="s">
        <v>526</v>
      </c>
      <c r="F681" s="93">
        <v>4.0</v>
      </c>
      <c r="G681" s="101" t="s">
        <v>11</v>
      </c>
      <c r="H681" s="97"/>
      <c r="I681" s="86"/>
      <c r="J681" s="130"/>
      <c r="K681" s="130"/>
    </row>
    <row r="682" ht="15.75" customHeight="1">
      <c r="A682" s="90">
        <v>45717.0</v>
      </c>
      <c r="B682" s="81" t="str">
        <f t="shared" si="1"/>
        <v>2025-03</v>
      </c>
      <c r="C682" s="108">
        <v>2.0008183E8</v>
      </c>
      <c r="D682" s="125" t="str">
        <f>IFERROR(VLOOKUP(C682,produto,2,FALSE), "Produto não encontrado")</f>
        <v>BLOCO DE ANOTAÇÃO AUTOADESIVO 76 X 102 MM COM 100 FOLHAS</v>
      </c>
      <c r="E682" s="92" t="s">
        <v>526</v>
      </c>
      <c r="F682" s="93">
        <v>2.0</v>
      </c>
      <c r="G682" s="101" t="s">
        <v>11</v>
      </c>
      <c r="H682" s="97"/>
      <c r="I682" s="86"/>
      <c r="J682" s="130"/>
      <c r="K682" s="130"/>
    </row>
    <row r="683" ht="15.75" customHeight="1">
      <c r="A683" s="90">
        <v>45717.0</v>
      </c>
      <c r="B683" s="81" t="str">
        <f t="shared" si="1"/>
        <v>2025-03</v>
      </c>
      <c r="C683" s="103">
        <v>2.00048673E8</v>
      </c>
      <c r="D683" s="125" t="str">
        <f>IFERROR(VLOOKUP(C683,produto,2,FALSE), "Produto não encontrado")</f>
        <v>ESTILETE PLASTICO ESTREITO DE 9MM</v>
      </c>
      <c r="E683" s="92" t="s">
        <v>526</v>
      </c>
      <c r="F683" s="93">
        <v>4.0</v>
      </c>
      <c r="G683" s="101" t="s">
        <v>11</v>
      </c>
      <c r="H683" s="97"/>
      <c r="I683" s="86"/>
      <c r="J683" s="130"/>
      <c r="K683" s="130"/>
    </row>
    <row r="684" ht="15.75" customHeight="1">
      <c r="A684" s="90">
        <v>45717.0</v>
      </c>
      <c r="B684" s="81" t="str">
        <f t="shared" si="1"/>
        <v>2025-03</v>
      </c>
      <c r="C684" s="109">
        <v>2.00054364E8</v>
      </c>
      <c r="D684" s="125" t="str">
        <f>IFERROR(VLOOKUP(C684,produto,2,FALSE), "Produto não encontrado")</f>
        <v>ESTILETE PLASTICO DE 13CM LAMINA LARGA</v>
      </c>
      <c r="E684" s="92" t="s">
        <v>526</v>
      </c>
      <c r="F684" s="93">
        <v>3.0</v>
      </c>
      <c r="G684" s="101" t="s">
        <v>11</v>
      </c>
      <c r="H684" s="97"/>
      <c r="I684" s="86"/>
      <c r="J684" s="130"/>
      <c r="K684" s="130"/>
    </row>
    <row r="685" ht="15.75" customHeight="1">
      <c r="A685" s="90">
        <v>45717.0</v>
      </c>
      <c r="B685" s="81" t="str">
        <f t="shared" si="1"/>
        <v>2025-03</v>
      </c>
      <c r="C685" s="108">
        <v>2.00043598E8</v>
      </c>
      <c r="D685" s="125" t="str">
        <f>IFERROR(VLOOKUP(C685,produto,2,FALSE), "Produto não encontrado")</f>
        <v>LAMINA PARA ESTILETE ESTREITO DE 13CM</v>
      </c>
      <c r="E685" s="92" t="s">
        <v>526</v>
      </c>
      <c r="F685" s="93">
        <v>1.0</v>
      </c>
      <c r="G685" s="101" t="s">
        <v>11</v>
      </c>
      <c r="H685" s="97"/>
      <c r="I685" s="86"/>
      <c r="J685" s="130"/>
      <c r="K685" s="130"/>
    </row>
    <row r="686" ht="15.75" customHeight="1">
      <c r="A686" s="90">
        <v>45717.0</v>
      </c>
      <c r="B686" s="81" t="str">
        <f t="shared" si="1"/>
        <v>2025-03</v>
      </c>
      <c r="C686" s="108">
        <v>2.00036752E8</v>
      </c>
      <c r="D686" s="125" t="str">
        <f>IFERROR(VLOOKUP(C686,produto,2,FALSE), "Produto não encontrado")</f>
        <v>ALCOOL 1LT</v>
      </c>
      <c r="E686" s="92" t="s">
        <v>526</v>
      </c>
      <c r="F686" s="93">
        <v>9.0</v>
      </c>
      <c r="G686" s="101" t="s">
        <v>11</v>
      </c>
      <c r="H686" s="97"/>
      <c r="I686" s="86"/>
      <c r="J686" s="130"/>
      <c r="K686" s="130"/>
    </row>
    <row r="687" ht="15.75" customHeight="1">
      <c r="A687" s="90">
        <v>45717.0</v>
      </c>
      <c r="B687" s="81" t="str">
        <f t="shared" si="1"/>
        <v>2025-03</v>
      </c>
      <c r="C687" s="108">
        <v>2.00036202E8</v>
      </c>
      <c r="D687" s="125" t="str">
        <f>IFERROR(VLOOKUP(C687,produto,2,FALSE), "Produto não encontrado")</f>
        <v>CANETA ESFEROGRAFICA PONTA MEDIA COR AZUL</v>
      </c>
      <c r="E687" s="92" t="s">
        <v>526</v>
      </c>
      <c r="F687" s="93">
        <v>9.0</v>
      </c>
      <c r="G687" s="101" t="s">
        <v>11</v>
      </c>
      <c r="H687" s="97"/>
      <c r="I687" s="86"/>
      <c r="J687" s="130"/>
      <c r="K687" s="130"/>
    </row>
    <row r="688" ht="15.75" customHeight="1">
      <c r="A688" s="90">
        <v>45717.0</v>
      </c>
      <c r="B688" s="81" t="str">
        <f t="shared" si="1"/>
        <v>2025-03</v>
      </c>
      <c r="C688" s="108">
        <v>2.00036201E8</v>
      </c>
      <c r="D688" s="125" t="str">
        <f>IFERROR(VLOOKUP(C688,produto,2,FALSE), "Produto não encontrado")</f>
        <v>CANETA ESFEROGRAFICA PONTA MEDIA COR PRETA</v>
      </c>
      <c r="E688" s="92" t="s">
        <v>526</v>
      </c>
      <c r="F688" s="93">
        <v>5.0</v>
      </c>
      <c r="G688" s="101" t="s">
        <v>11</v>
      </c>
      <c r="H688" s="97"/>
      <c r="I688" s="86"/>
      <c r="J688" s="130"/>
      <c r="K688" s="130"/>
    </row>
    <row r="689" ht="15.75" customHeight="1">
      <c r="A689" s="90">
        <v>45717.0</v>
      </c>
      <c r="B689" s="81" t="str">
        <f t="shared" si="1"/>
        <v>2025-03</v>
      </c>
      <c r="C689" s="108">
        <v>2.00036941E8</v>
      </c>
      <c r="D689" s="125" t="str">
        <f>IFERROR(VLOOKUP(C689,produto,2,FALSE), "Produto não encontrado")</f>
        <v>COLA BRANCA BASTAO 10G</v>
      </c>
      <c r="E689" s="92" t="s">
        <v>526</v>
      </c>
      <c r="F689" s="93">
        <v>2.0</v>
      </c>
      <c r="G689" s="101" t="s">
        <v>11</v>
      </c>
      <c r="H689" s="97"/>
      <c r="I689" s="86"/>
      <c r="J689" s="130"/>
      <c r="K689" s="130"/>
    </row>
    <row r="690" ht="15.75" customHeight="1">
      <c r="A690" s="90">
        <v>45717.0</v>
      </c>
      <c r="B690" s="81" t="str">
        <f t="shared" si="1"/>
        <v>2025-03</v>
      </c>
      <c r="C690" s="107">
        <v>2.00031692E8</v>
      </c>
      <c r="D690" s="125" t="str">
        <f>IFERROR(VLOOKUP(C690,produto,2,FALSE), "Produto não encontrado")</f>
        <v> CANETA PARA RETROPROJETOR FINA</v>
      </c>
      <c r="E690" s="92" t="s">
        <v>526</v>
      </c>
      <c r="F690" s="93">
        <v>9.0</v>
      </c>
      <c r="G690" s="101" t="s">
        <v>11</v>
      </c>
      <c r="H690" s="97"/>
      <c r="I690" s="86"/>
      <c r="J690" s="130"/>
      <c r="K690" s="130"/>
    </row>
    <row r="691" ht="15.75" customHeight="1">
      <c r="A691" s="90">
        <v>45717.0</v>
      </c>
      <c r="B691" s="81" t="str">
        <f t="shared" si="1"/>
        <v>2025-03</v>
      </c>
      <c r="C691" s="105">
        <v>2.00036164E8</v>
      </c>
      <c r="D691" s="125" t="str">
        <f>IFERROR(VLOOKUP(C691,produto,2,FALSE), "Produto não encontrado")</f>
        <v>Produto não encontrado</v>
      </c>
      <c r="E691" s="92" t="s">
        <v>526</v>
      </c>
      <c r="F691" s="93">
        <v>3.0</v>
      </c>
      <c r="G691" s="101" t="s">
        <v>11</v>
      </c>
      <c r="H691" s="97"/>
      <c r="I691" s="86"/>
      <c r="J691" s="130"/>
      <c r="K691" s="130"/>
    </row>
    <row r="692" ht="15.75" customHeight="1">
      <c r="A692" s="90">
        <v>45717.0</v>
      </c>
      <c r="B692" s="81" t="str">
        <f t="shared" si="1"/>
        <v>2025-03</v>
      </c>
      <c r="C692" s="124" t="s">
        <v>150</v>
      </c>
      <c r="D692" s="125" t="str">
        <f>IFERROR(VLOOKUP(C692,produto,2,FALSE), "Produto não encontrado")</f>
        <v>MARCADOR PARA QUADRO BRANCO</v>
      </c>
      <c r="E692" s="92" t="s">
        <v>526</v>
      </c>
      <c r="F692" s="93">
        <v>7.0</v>
      </c>
      <c r="G692" s="101" t="s">
        <v>11</v>
      </c>
      <c r="H692" s="97"/>
      <c r="I692" s="86"/>
      <c r="J692" s="130"/>
      <c r="K692" s="130"/>
    </row>
    <row r="693" ht="15.75" customHeight="1">
      <c r="A693" s="90">
        <v>45717.0</v>
      </c>
      <c r="B693" s="81" t="str">
        <f t="shared" si="1"/>
        <v>2025-03</v>
      </c>
      <c r="C693" s="108">
        <v>2.00031707E8</v>
      </c>
      <c r="D693" s="125" t="str">
        <f>IFERROR(VLOOKUP(C693,produto,2,FALSE), "Produto não encontrado")</f>
        <v>MARCA TEXTO AZUL</v>
      </c>
      <c r="E693" s="92" t="s">
        <v>526</v>
      </c>
      <c r="F693" s="93">
        <v>1.0</v>
      </c>
      <c r="G693" s="101" t="s">
        <v>11</v>
      </c>
      <c r="H693" s="97"/>
      <c r="I693" s="86"/>
      <c r="J693" s="130"/>
      <c r="K693" s="130"/>
    </row>
    <row r="694" ht="15.75" customHeight="1">
      <c r="A694" s="90">
        <v>45717.0</v>
      </c>
      <c r="B694" s="81" t="str">
        <f t="shared" si="1"/>
        <v>2025-03</v>
      </c>
      <c r="C694" s="108">
        <v>2.00036733E8</v>
      </c>
      <c r="D694" s="125" t="str">
        <f>IFERROR(VLOOKUP(C694,produto,2,FALSE), "Produto não encontrado")</f>
        <v> CANETA MARCA TEXTO PLASTICA COR AMARELO</v>
      </c>
      <c r="E694" s="92" t="s">
        <v>526</v>
      </c>
      <c r="F694" s="134">
        <v>2.0</v>
      </c>
      <c r="G694" s="101" t="s">
        <v>11</v>
      </c>
      <c r="H694" s="97"/>
      <c r="I694" s="86"/>
      <c r="J694" s="130"/>
      <c r="K694" s="130"/>
    </row>
    <row r="695" ht="15.75" customHeight="1">
      <c r="A695" s="90">
        <v>45717.0</v>
      </c>
      <c r="B695" s="81" t="str">
        <f t="shared" si="1"/>
        <v>2025-03</v>
      </c>
      <c r="C695" s="128">
        <v>2.00036488E8</v>
      </c>
      <c r="D695" s="125" t="str">
        <f>IFERROR(VLOOKUP(C695,produto,2,FALSE), "Produto não encontrado")</f>
        <v>CANETA MARCADOR PERMANENTE PONTA 2.0mm</v>
      </c>
      <c r="E695" s="92" t="s">
        <v>526</v>
      </c>
      <c r="F695" s="93">
        <v>3.0</v>
      </c>
      <c r="G695" s="101" t="s">
        <v>11</v>
      </c>
      <c r="H695" s="97"/>
      <c r="I695" s="86"/>
      <c r="J695" s="130"/>
      <c r="K695" s="130"/>
    </row>
    <row r="696" ht="15.75" customHeight="1">
      <c r="A696" s="90">
        <v>45717.0</v>
      </c>
      <c r="B696" s="81" t="str">
        <f t="shared" si="1"/>
        <v>2025-03</v>
      </c>
      <c r="C696" s="108">
        <v>2.00056827E8</v>
      </c>
      <c r="D696" s="125" t="str">
        <f>IFERROR(VLOOKUP(C696,produto,2,FALSE), "Produto não encontrado")</f>
        <v>BORRACHA ESCOLAR BRANCA 34X23X8</v>
      </c>
      <c r="E696" s="92" t="s">
        <v>526</v>
      </c>
      <c r="F696" s="93">
        <v>4.0</v>
      </c>
      <c r="G696" s="101" t="s">
        <v>11</v>
      </c>
      <c r="H696" s="97"/>
      <c r="I696" s="86"/>
      <c r="J696" s="130"/>
      <c r="K696" s="130"/>
    </row>
    <row r="697" ht="15.75" customHeight="1">
      <c r="A697" s="90">
        <v>45717.0</v>
      </c>
      <c r="B697" s="81" t="str">
        <f t="shared" si="1"/>
        <v>2025-03</v>
      </c>
      <c r="C697" s="126">
        <v>2.00058015E8</v>
      </c>
      <c r="D697" s="125" t="str">
        <f>IFERROR(VLOOKUP(C697,produto,2,FALSE), "Produto não encontrado")</f>
        <v>KNESIO - FITA DE CINESIOLOGIA ROLO COM 5CM X 5M</v>
      </c>
      <c r="E697" s="92" t="s">
        <v>526</v>
      </c>
      <c r="F697" s="93">
        <v>8.0</v>
      </c>
      <c r="G697" s="101" t="s">
        <v>11</v>
      </c>
      <c r="H697" s="97"/>
      <c r="I697" s="86"/>
      <c r="J697" s="130"/>
      <c r="K697" s="130"/>
    </row>
    <row r="698" ht="15.75" customHeight="1">
      <c r="A698" s="90">
        <v>45717.0</v>
      </c>
      <c r="B698" s="81" t="str">
        <f t="shared" si="1"/>
        <v>2025-03</v>
      </c>
      <c r="C698" s="108">
        <v>2.00033068E8</v>
      </c>
      <c r="D698" s="125" t="str">
        <f>IFERROR(VLOOKUP(C698,produto,2,FALSE), "Produto não encontrado")</f>
        <v> PAPEL SULFITE A4 210 X 297MM 75G BRANCO MULTIUSO PACOTE COM 500 FLS</v>
      </c>
      <c r="E698" s="92" t="s">
        <v>526</v>
      </c>
      <c r="F698" s="93">
        <v>10.0</v>
      </c>
      <c r="G698" s="101" t="s">
        <v>11</v>
      </c>
      <c r="H698" s="97"/>
      <c r="I698" s="86"/>
      <c r="J698" s="130"/>
      <c r="K698" s="130"/>
    </row>
    <row r="699" ht="15.75" customHeight="1">
      <c r="A699" s="90">
        <v>45717.0</v>
      </c>
      <c r="B699" s="81" t="str">
        <f t="shared" si="1"/>
        <v>2025-03</v>
      </c>
      <c r="C699" s="107">
        <v>7.89232707E8</v>
      </c>
      <c r="D699" s="125" t="str">
        <f>IFERROR(VLOOKUP(C699,produto,2,FALSE), "Produto não encontrado")</f>
        <v>Produto não encontrado</v>
      </c>
      <c r="E699" s="92" t="s">
        <v>526</v>
      </c>
      <c r="F699" s="93">
        <v>1.0</v>
      </c>
      <c r="G699" s="101" t="s">
        <v>11</v>
      </c>
      <c r="H699" s="97"/>
      <c r="I699" s="86"/>
      <c r="J699" s="130"/>
      <c r="K699" s="130"/>
    </row>
    <row r="700" ht="15.75" customHeight="1">
      <c r="A700" s="90">
        <v>45717.0</v>
      </c>
      <c r="B700" s="81" t="str">
        <f t="shared" si="1"/>
        <v>2025-03</v>
      </c>
      <c r="C700" s="108">
        <v>2.00062977E8</v>
      </c>
      <c r="D700" s="125" t="str">
        <f>IFERROR(VLOOKUP(C700,produto,2,FALSE), "Produto não encontrado")</f>
        <v>TINTA PARA CARIMBO COR AZUL DE 40ML</v>
      </c>
      <c r="E700" s="92" t="s">
        <v>526</v>
      </c>
      <c r="F700" s="93">
        <v>6.0</v>
      </c>
      <c r="G700" s="101" t="s">
        <v>11</v>
      </c>
      <c r="H700" s="97"/>
      <c r="I700" s="86"/>
      <c r="J700" s="130"/>
      <c r="K700" s="130"/>
    </row>
    <row r="701" ht="15.75" customHeight="1">
      <c r="A701" s="90">
        <v>45717.0</v>
      </c>
      <c r="B701" s="81" t="str">
        <f t="shared" si="1"/>
        <v>2025-03</v>
      </c>
      <c r="C701" s="108">
        <v>2.00038284E8</v>
      </c>
      <c r="D701" s="125" t="str">
        <f>IFERROR(VLOOKUP(C701,produto,2,FALSE), "Produto não encontrado")</f>
        <v>ABRAÇADEIRA DE NYLON 100X2,5MM</v>
      </c>
      <c r="E701" s="92" t="s">
        <v>526</v>
      </c>
      <c r="F701" s="93">
        <v>1.0</v>
      </c>
      <c r="G701" s="101" t="s">
        <v>11</v>
      </c>
      <c r="H701" s="97"/>
      <c r="I701" s="86"/>
      <c r="J701" s="130"/>
      <c r="K701" s="130"/>
    </row>
    <row r="702" ht="15.75" customHeight="1">
      <c r="A702" s="90">
        <v>45717.0</v>
      </c>
      <c r="B702" s="81" t="str">
        <f t="shared" si="1"/>
        <v>2025-03</v>
      </c>
      <c r="C702" s="108">
        <v>2.00038178E8</v>
      </c>
      <c r="D702" s="125" t="str">
        <f>IFERROR(VLOOKUP(C702,produto,2,FALSE), "Produto não encontrado")</f>
        <v>CARTOLINA GRAMATURA 50X66CM DE 150G</v>
      </c>
      <c r="E702" s="92" t="s">
        <v>526</v>
      </c>
      <c r="F702" s="93">
        <v>6.0</v>
      </c>
      <c r="G702" s="101" t="s">
        <v>11</v>
      </c>
      <c r="H702" s="97"/>
      <c r="I702" s="86"/>
      <c r="J702" s="130"/>
      <c r="K702" s="130"/>
    </row>
    <row r="703" ht="15.75" customHeight="1">
      <c r="A703" s="90">
        <v>45717.0</v>
      </c>
      <c r="B703" s="81" t="str">
        <f t="shared" si="1"/>
        <v>2025-03</v>
      </c>
      <c r="C703" s="108">
        <v>2.00036618E8</v>
      </c>
      <c r="D703" s="125" t="str">
        <f>IFERROR(VLOOKUP(C703,produto,2,FALSE), "Produto não encontrado")</f>
        <v>ESPONJA SINTETICA DUPLA FACE 10X7X2</v>
      </c>
      <c r="E703" s="92" t="s">
        <v>526</v>
      </c>
      <c r="F703" s="93">
        <v>3.0</v>
      </c>
      <c r="G703" s="101" t="s">
        <v>11</v>
      </c>
      <c r="H703" s="97"/>
      <c r="I703" s="86"/>
      <c r="J703" s="130"/>
      <c r="K703" s="130"/>
    </row>
    <row r="704" ht="15.75" customHeight="1">
      <c r="A704" s="90">
        <v>45717.0</v>
      </c>
      <c r="B704" s="81" t="str">
        <f t="shared" si="1"/>
        <v>2025-03</v>
      </c>
      <c r="C704" s="108">
        <v>2.00061213E8</v>
      </c>
      <c r="D704" s="125" t="str">
        <f>IFERROR(VLOOKUP(C704,produto,2,FALSE), "Produto não encontrado")</f>
        <v>SABONETE LIQUIDO CONCENTRADO 1L</v>
      </c>
      <c r="E704" s="92" t="s">
        <v>526</v>
      </c>
      <c r="F704" s="93">
        <v>1.0</v>
      </c>
      <c r="G704" s="101" t="s">
        <v>11</v>
      </c>
      <c r="H704" s="97"/>
      <c r="I704" s="86"/>
      <c r="J704" s="130"/>
      <c r="K704" s="130"/>
    </row>
    <row r="705" ht="15.75" customHeight="1">
      <c r="A705" s="90">
        <v>45717.0</v>
      </c>
      <c r="B705" s="81" t="str">
        <f t="shared" si="1"/>
        <v>2025-03</v>
      </c>
      <c r="C705" s="108">
        <v>2.0003653E8</v>
      </c>
      <c r="D705" s="125" t="str">
        <f>IFERROR(VLOOKUP(C705,produto,2,FALSE), "Produto não encontrado")</f>
        <v>ODORIZADOR DE AMBIENTE AEROSOL DE 400ML</v>
      </c>
      <c r="E705" s="92" t="s">
        <v>526</v>
      </c>
      <c r="F705" s="93">
        <v>1.0</v>
      </c>
      <c r="G705" s="101" t="s">
        <v>11</v>
      </c>
      <c r="H705" s="97"/>
      <c r="I705" s="86"/>
      <c r="J705" s="130"/>
      <c r="K705" s="130"/>
    </row>
    <row r="706" ht="15.75" customHeight="1">
      <c r="A706" s="90">
        <v>45717.0</v>
      </c>
      <c r="B706" s="81" t="str">
        <f t="shared" si="1"/>
        <v>2025-03</v>
      </c>
      <c r="C706" s="108">
        <v>2.00070056E8</v>
      </c>
      <c r="D706" s="125" t="str">
        <f>IFERROR(VLOOKUP(C706,produto,2,FALSE), "Produto não encontrado")</f>
        <v>PAPEL TOALHADE ROLHO</v>
      </c>
      <c r="E706" s="92" t="s">
        <v>526</v>
      </c>
      <c r="F706" s="93">
        <v>1.0</v>
      </c>
      <c r="G706" s="101" t="s">
        <v>11</v>
      </c>
      <c r="H706" s="97"/>
      <c r="I706" s="86"/>
      <c r="J706" s="130"/>
      <c r="K706" s="130"/>
    </row>
    <row r="707" ht="15.75" customHeight="1">
      <c r="A707" s="90">
        <v>45717.0</v>
      </c>
      <c r="B707" s="81" t="str">
        <f t="shared" si="1"/>
        <v>2025-03</v>
      </c>
      <c r="C707" s="108" t="s">
        <v>185</v>
      </c>
      <c r="D707" s="125" t="str">
        <f>IFERROR(VLOOKUP(C707,produto,2,FALSE), "Produto não encontrado")</f>
        <v>Papel Toalha Interfolhado</v>
      </c>
      <c r="E707" s="92" t="s">
        <v>526</v>
      </c>
      <c r="F707" s="93">
        <v>3.0</v>
      </c>
      <c r="G707" s="101" t="s">
        <v>11</v>
      </c>
      <c r="H707" s="97"/>
      <c r="I707" s="86"/>
      <c r="J707" s="130"/>
      <c r="K707" s="130"/>
    </row>
    <row r="708" ht="15.75" customHeight="1">
      <c r="A708" s="90">
        <v>45717.0</v>
      </c>
      <c r="B708" s="81" t="str">
        <f t="shared" si="1"/>
        <v>2025-03</v>
      </c>
      <c r="C708" s="108">
        <v>2.00086234E8</v>
      </c>
      <c r="D708" s="125" t="str">
        <f>IFERROR(VLOOKUP(C708,produto,2,FALSE), "Produto não encontrado")</f>
        <v>PAQUIMETRO PALSTICO</v>
      </c>
      <c r="E708" s="92" t="s">
        <v>526</v>
      </c>
      <c r="F708" s="93">
        <v>2.0</v>
      </c>
      <c r="G708" s="101" t="s">
        <v>11</v>
      </c>
      <c r="H708" s="97"/>
      <c r="I708" s="86"/>
      <c r="J708" s="130"/>
      <c r="K708" s="130"/>
    </row>
    <row r="709" ht="15.75" customHeight="1">
      <c r="A709" s="90">
        <v>45717.0</v>
      </c>
      <c r="B709" s="81" t="str">
        <f t="shared" si="1"/>
        <v>2025-03</v>
      </c>
      <c r="C709" s="124" t="s">
        <v>270</v>
      </c>
      <c r="D709" s="125" t="str">
        <f>IFERROR(VLOOKUP(C709,produto,2,FALSE), "Produto não encontrado")</f>
        <v>LAPIS COPIATIVO COM 12 UND</v>
      </c>
      <c r="E709" s="92" t="s">
        <v>526</v>
      </c>
      <c r="F709" s="93">
        <v>9.0</v>
      </c>
      <c r="G709" s="101" t="s">
        <v>11</v>
      </c>
      <c r="H709" s="97"/>
      <c r="I709" s="86"/>
      <c r="J709" s="130"/>
      <c r="K709" s="130"/>
    </row>
    <row r="710" ht="15.75" customHeight="1">
      <c r="A710" s="135">
        <v>45717.0</v>
      </c>
      <c r="B710" s="81" t="str">
        <f t="shared" si="1"/>
        <v>2025-03</v>
      </c>
      <c r="C710" s="108">
        <v>2.00001032E8</v>
      </c>
      <c r="D710" s="136" t="str">
        <f>IFERROR(VLOOKUP(C710,produto,2,FALSE), "Produto não encontrado")</f>
        <v>FILME DE PVC TRANSPARENTE 28X30
7'898927'947217</v>
      </c>
      <c r="E710" s="137" t="s">
        <v>526</v>
      </c>
      <c r="F710" s="138">
        <v>4.0</v>
      </c>
      <c r="G710" s="21" t="s">
        <v>11</v>
      </c>
      <c r="H710" s="22"/>
      <c r="I710" s="86"/>
      <c r="J710" s="130"/>
      <c r="K710" s="130"/>
    </row>
    <row r="711" ht="15.75" customHeight="1">
      <c r="A711" s="90">
        <v>45717.0</v>
      </c>
      <c r="B711" s="81" t="str">
        <f t="shared" si="1"/>
        <v>2025-03</v>
      </c>
      <c r="C711" s="107">
        <v>2.00077416E8</v>
      </c>
      <c r="D711" s="125" t="str">
        <f>IFERROR(VLOOKUP(C711,produto,2,FALSE), "Produto não encontrado")</f>
        <v>COLA SPRAY PERMANENTE DE 500ML/330G</v>
      </c>
      <c r="E711" s="92" t="s">
        <v>526</v>
      </c>
      <c r="F711" s="93">
        <v>4.0</v>
      </c>
      <c r="G711" s="101" t="s">
        <v>11</v>
      </c>
      <c r="H711" s="97"/>
      <c r="I711" s="86"/>
      <c r="J711" s="130"/>
      <c r="K711" s="130"/>
    </row>
    <row r="712" ht="15.75" customHeight="1">
      <c r="A712" s="90">
        <v>45717.0</v>
      </c>
      <c r="B712" s="81" t="str">
        <f t="shared" si="1"/>
        <v>2025-03</v>
      </c>
      <c r="C712" s="103">
        <v>2.00000029E8</v>
      </c>
      <c r="D712" s="125" t="str">
        <f>IFERROR(VLOOKUP(C712,produto,2,FALSE), "Produto não encontrado")</f>
        <v>TUBO GALV. 3/4 1,55MM 6M</v>
      </c>
      <c r="E712" s="92" t="s">
        <v>526</v>
      </c>
      <c r="F712" s="93">
        <v>8.0</v>
      </c>
      <c r="G712" s="101" t="s">
        <v>11</v>
      </c>
      <c r="H712" s="97"/>
      <c r="I712" s="86"/>
      <c r="J712" s="130"/>
      <c r="K712" s="130"/>
    </row>
    <row r="713" ht="15.75" customHeight="1">
      <c r="A713" s="90">
        <v>45717.0</v>
      </c>
      <c r="B713" s="81" t="str">
        <f t="shared" si="1"/>
        <v>2025-03</v>
      </c>
      <c r="C713" s="108">
        <v>2.00036189E8</v>
      </c>
      <c r="D713" s="125" t="str">
        <f>IFERROR(VLOOKUP(C713,produto,2,FALSE), "Produto não encontrado")</f>
        <v>COPO DESCARTAVEL 180ML</v>
      </c>
      <c r="E713" s="92" t="s">
        <v>528</v>
      </c>
      <c r="F713" s="93">
        <v>3.0</v>
      </c>
      <c r="G713" s="50"/>
      <c r="H713" s="51"/>
      <c r="I713" s="86"/>
      <c r="J713" s="130"/>
      <c r="K713" s="130"/>
    </row>
    <row r="714" ht="15.75" customHeight="1">
      <c r="A714" s="90">
        <v>45717.0</v>
      </c>
      <c r="B714" s="81" t="str">
        <f t="shared" si="1"/>
        <v>2025-03</v>
      </c>
      <c r="C714" s="108">
        <v>2.00052793E8</v>
      </c>
      <c r="D714" s="125" t="str">
        <f>IFERROR(VLOOKUP(C714,produto,2,FALSE), "Produto não encontrado")</f>
        <v>CORRETIVO EM FITA 5MMX12M</v>
      </c>
      <c r="E714" s="92" t="s">
        <v>528</v>
      </c>
      <c r="F714" s="93">
        <v>2.0</v>
      </c>
      <c r="G714" s="106" t="s">
        <v>547</v>
      </c>
      <c r="H714" s="51"/>
      <c r="I714" s="86"/>
      <c r="J714" s="130"/>
      <c r="K714" s="130"/>
    </row>
    <row r="715" ht="15.75" customHeight="1">
      <c r="A715" s="90">
        <v>45717.0</v>
      </c>
      <c r="B715" s="81" t="str">
        <f t="shared" si="1"/>
        <v>2025-03</v>
      </c>
      <c r="C715" s="107">
        <v>2.00037413E8</v>
      </c>
      <c r="D715" s="125" t="str">
        <f>IFERROR(VLOOKUP(C715,produto,2,FALSE), "Produto não encontrado")</f>
        <v>CLIPS NIQUELADO Nº 3 COM 50 UN</v>
      </c>
      <c r="E715" s="92" t="s">
        <v>528</v>
      </c>
      <c r="F715" s="93">
        <v>2.0</v>
      </c>
      <c r="G715" s="50" t="s">
        <v>533</v>
      </c>
      <c r="H715" s="51"/>
      <c r="I715" s="86"/>
      <c r="J715" s="130"/>
      <c r="K715" s="130"/>
    </row>
    <row r="716" ht="15.75" customHeight="1">
      <c r="A716" s="90">
        <v>45717.0</v>
      </c>
      <c r="B716" s="81" t="str">
        <f t="shared" si="1"/>
        <v>2025-03</v>
      </c>
      <c r="C716" s="103">
        <v>2.00048673E8</v>
      </c>
      <c r="D716" s="125" t="str">
        <f>IFERROR(VLOOKUP(C716,produto,2,FALSE), "Produto não encontrado")</f>
        <v>ESTILETE PLASTICO ESTREITO DE 9MM</v>
      </c>
      <c r="E716" s="92" t="s">
        <v>528</v>
      </c>
      <c r="F716" s="93">
        <v>3.0</v>
      </c>
      <c r="G716" s="50" t="s">
        <v>533</v>
      </c>
      <c r="H716" s="51"/>
      <c r="I716" s="86"/>
      <c r="J716" s="130"/>
      <c r="K716" s="130"/>
    </row>
    <row r="717" ht="15.75" customHeight="1">
      <c r="A717" s="90">
        <v>45717.0</v>
      </c>
      <c r="B717" s="81" t="str">
        <f t="shared" si="1"/>
        <v>2025-03</v>
      </c>
      <c r="C717" s="108">
        <v>2.00086234E8</v>
      </c>
      <c r="D717" s="125" t="str">
        <f>IFERROR(VLOOKUP(C717,produto,2,FALSE), "Produto não encontrado")</f>
        <v>PAQUIMETRO PALSTICO</v>
      </c>
      <c r="E717" s="92" t="s">
        <v>528</v>
      </c>
      <c r="F717" s="93">
        <v>2.0</v>
      </c>
      <c r="G717" s="106" t="s">
        <v>571</v>
      </c>
      <c r="H717" s="97"/>
      <c r="I717" s="86"/>
      <c r="J717" s="130"/>
      <c r="K717" s="130"/>
    </row>
    <row r="718" ht="19.5" customHeight="1">
      <c r="A718" s="90">
        <v>45717.0</v>
      </c>
      <c r="B718" s="81" t="str">
        <f t="shared" si="1"/>
        <v>2025-03</v>
      </c>
      <c r="C718" s="124" t="s">
        <v>270</v>
      </c>
      <c r="D718" s="125" t="str">
        <f>IFERROR(VLOOKUP(C718,produto,2,FALSE), "Produto não encontrado")</f>
        <v>LAPIS COPIATIVO COM 12 UND</v>
      </c>
      <c r="E718" s="92" t="s">
        <v>528</v>
      </c>
      <c r="F718" s="93">
        <v>1.0</v>
      </c>
      <c r="G718" s="50" t="s">
        <v>533</v>
      </c>
      <c r="H718" s="51"/>
      <c r="I718" s="86"/>
      <c r="J718" s="139"/>
      <c r="K718" s="139"/>
    </row>
    <row r="719" ht="15.75" customHeight="1">
      <c r="A719" s="90">
        <v>45717.0</v>
      </c>
      <c r="B719" s="81" t="str">
        <f t="shared" si="1"/>
        <v>2025-03</v>
      </c>
      <c r="C719" s="108">
        <v>2.00001032E8</v>
      </c>
      <c r="D719" s="125" t="str">
        <f>IFERROR(VLOOKUP(C719,produto,2,FALSE), "Produto não encontrado")</f>
        <v>FILME DE PVC TRANSPARENTE 28X30
7'898927'947217</v>
      </c>
      <c r="E719" s="92" t="s">
        <v>528</v>
      </c>
      <c r="F719" s="93">
        <v>4.0</v>
      </c>
      <c r="G719" s="50" t="s">
        <v>533</v>
      </c>
      <c r="H719" s="51"/>
      <c r="I719" s="86"/>
      <c r="J719" s="130"/>
      <c r="K719" s="130"/>
    </row>
    <row r="720" ht="15.75" customHeight="1">
      <c r="A720" s="90">
        <v>45706.0</v>
      </c>
      <c r="B720" s="81" t="str">
        <f t="shared" si="1"/>
        <v>2025-02</v>
      </c>
      <c r="C720" s="107">
        <v>2.0008597E8</v>
      </c>
      <c r="D720" s="125" t="str">
        <f>IFERROR(VLOOKUP(C720,produto,2,FALSE), "Produto não encontrado")</f>
        <v>COLA DE CONTATO MULTIUSO DE 2,8KG</v>
      </c>
      <c r="E720" s="92" t="s">
        <v>528</v>
      </c>
      <c r="F720" s="93">
        <v>3.0</v>
      </c>
      <c r="G720" s="101"/>
      <c r="H720" s="97"/>
      <c r="I720" s="86"/>
      <c r="J720" s="130"/>
      <c r="K720" s="130"/>
    </row>
    <row r="721" ht="15.75" customHeight="1">
      <c r="A721" s="90">
        <v>45706.0</v>
      </c>
      <c r="B721" s="81" t="str">
        <f t="shared" si="1"/>
        <v>2025-02</v>
      </c>
      <c r="C721" s="107">
        <v>2.0008597E8</v>
      </c>
      <c r="D721" s="125" t="str">
        <f>IFERROR(VLOOKUP(C721,produto,2,FALSE), "Produto não encontrado")</f>
        <v>COLA DE CONTATO MULTIUSO DE 2,8KG</v>
      </c>
      <c r="E721" s="92" t="s">
        <v>526</v>
      </c>
      <c r="F721" s="93">
        <v>4.0</v>
      </c>
      <c r="G721" s="101"/>
      <c r="H721" s="97"/>
      <c r="I721" s="86"/>
      <c r="J721" s="130"/>
      <c r="K721" s="130"/>
    </row>
    <row r="722" ht="15.75" customHeight="1">
      <c r="A722" s="90">
        <v>45702.0</v>
      </c>
      <c r="B722" s="81" t="str">
        <f t="shared" si="1"/>
        <v>2025-02</v>
      </c>
      <c r="C722" s="108" t="s">
        <v>498</v>
      </c>
      <c r="D722" s="125" t="str">
        <f>IFERROR(VLOOKUP(C722,produto,2,FALSE), "Produto não encontrado")</f>
        <v>Tesoura de Costura Industrial Reforçada 1470-8 Practical 8" Cinza Mundial</v>
      </c>
      <c r="E722" s="92" t="s">
        <v>528</v>
      </c>
      <c r="F722" s="93">
        <v>3.0</v>
      </c>
      <c r="G722" s="106" t="s">
        <v>571</v>
      </c>
      <c r="H722" s="97"/>
      <c r="I722" s="86"/>
      <c r="J722" s="130"/>
      <c r="K722" s="130"/>
    </row>
    <row r="723" ht="15.75" customHeight="1">
      <c r="A723" s="140">
        <v>45689.0</v>
      </c>
      <c r="B723" s="81" t="str">
        <f t="shared" si="1"/>
        <v>2025-02</v>
      </c>
      <c r="C723" s="124">
        <v>2.00000001E8</v>
      </c>
      <c r="D723" s="125" t="str">
        <f>IFERROR(VLOOKUP(C723,produto,2,FALSE), "Produto não encontrado")</f>
        <v>LIXA D'AGUA 150</v>
      </c>
      <c r="E723" s="141" t="s">
        <v>528</v>
      </c>
      <c r="F723" s="142">
        <v>150.0</v>
      </c>
      <c r="G723" s="106" t="s">
        <v>571</v>
      </c>
      <c r="H723" s="97"/>
      <c r="I723" s="86"/>
      <c r="J723" s="130"/>
      <c r="K723" s="130"/>
    </row>
    <row r="724" ht="19.5" customHeight="1">
      <c r="A724" s="140">
        <v>45689.0</v>
      </c>
      <c r="B724" s="81" t="str">
        <f t="shared" si="1"/>
        <v>2025-02</v>
      </c>
      <c r="C724" s="103">
        <v>2.00007285E8</v>
      </c>
      <c r="D724" s="125" t="str">
        <f>IFERROR(VLOOKUP(C724,produto,2,FALSE), "Produto não encontrado")</f>
        <v>LIXA D'MADEIRA 120</v>
      </c>
      <c r="E724" s="141" t="s">
        <v>528</v>
      </c>
      <c r="F724" s="142">
        <v>100.0</v>
      </c>
      <c r="G724" s="106" t="s">
        <v>571</v>
      </c>
      <c r="H724" s="97"/>
      <c r="I724" s="86"/>
      <c r="J724" s="130"/>
      <c r="K724" s="130"/>
    </row>
    <row r="725" ht="15.75" customHeight="1">
      <c r="A725" s="140">
        <v>45689.0</v>
      </c>
      <c r="B725" s="81" t="str">
        <f t="shared" si="1"/>
        <v>2025-02</v>
      </c>
      <c r="C725" s="143">
        <v>2.000027E8</v>
      </c>
      <c r="D725" s="125" t="str">
        <f>IFERROR(VLOOKUP(C725,produto,2,FALSE), "Produto não encontrado")</f>
        <v>THINNER / LIMPEZA E ACABAMENTO 900ML</v>
      </c>
      <c r="E725" s="141" t="s">
        <v>528</v>
      </c>
      <c r="F725" s="133">
        <v>2.0</v>
      </c>
      <c r="G725" s="106" t="s">
        <v>571</v>
      </c>
      <c r="H725" s="97"/>
      <c r="I725" s="86"/>
      <c r="J725" s="130"/>
      <c r="K725" s="130"/>
    </row>
    <row r="726" ht="15.75" customHeight="1">
      <c r="A726" s="140">
        <v>45689.0</v>
      </c>
      <c r="B726" s="81" t="str">
        <f t="shared" si="1"/>
        <v>2025-02</v>
      </c>
      <c r="C726" s="107">
        <v>2.00026827E8</v>
      </c>
      <c r="D726" s="125" t="str">
        <f>IFERROR(VLOOKUP(C726,produto,2,FALSE), "Produto não encontrado")</f>
        <v>TRINCHA 3</v>
      </c>
      <c r="E726" s="141" t="s">
        <v>528</v>
      </c>
      <c r="F726" s="133">
        <v>3.0</v>
      </c>
      <c r="G726" s="106" t="s">
        <v>571</v>
      </c>
      <c r="H726" s="97"/>
      <c r="I726" s="86"/>
      <c r="J726" s="130"/>
      <c r="K726" s="130"/>
    </row>
    <row r="727" ht="21.0" customHeight="1">
      <c r="A727" s="140">
        <v>45689.0</v>
      </c>
      <c r="B727" s="81" t="str">
        <f t="shared" si="1"/>
        <v>2025-02</v>
      </c>
      <c r="C727" s="100">
        <v>2.0002429E8</v>
      </c>
      <c r="D727" s="125" t="str">
        <f>IFERROR(VLOOKUP(C727,produto,2,FALSE), "Produto não encontrado")</f>
        <v>TRINCHA 3/4 </v>
      </c>
      <c r="E727" s="132" t="s">
        <v>528</v>
      </c>
      <c r="F727" s="133">
        <v>8.0</v>
      </c>
      <c r="G727" s="144"/>
      <c r="H727" s="145"/>
      <c r="I727" s="86"/>
      <c r="J727" s="130"/>
      <c r="K727" s="130"/>
    </row>
    <row r="728" ht="15.75" customHeight="1">
      <c r="A728" s="146">
        <v>45688.0</v>
      </c>
      <c r="B728" s="81" t="str">
        <f t="shared" si="1"/>
        <v>2025-01</v>
      </c>
      <c r="C728" s="147">
        <v>2.00000001E8</v>
      </c>
      <c r="D728" s="125" t="str">
        <f>IFERROR(VLOOKUP(C728,produto,2,FALSE), "Produto não encontrado")</f>
        <v>LIXA D'AGUA 150</v>
      </c>
      <c r="E728" s="141" t="s">
        <v>526</v>
      </c>
      <c r="F728" s="148">
        <v>400.0</v>
      </c>
      <c r="G728" s="101" t="s">
        <v>11</v>
      </c>
      <c r="H728" s="97"/>
      <c r="I728" s="86"/>
      <c r="J728" s="130"/>
      <c r="K728" s="130"/>
    </row>
    <row r="729" ht="15.75" customHeight="1">
      <c r="A729" s="146">
        <v>45688.0</v>
      </c>
      <c r="B729" s="81" t="str">
        <f t="shared" si="1"/>
        <v>2025-01</v>
      </c>
      <c r="C729" s="103">
        <v>2.00007285E8</v>
      </c>
      <c r="D729" s="125" t="str">
        <f>IFERROR(VLOOKUP(C729,produto,2,FALSE), "Produto não encontrado")</f>
        <v>LIXA D'MADEIRA 120</v>
      </c>
      <c r="E729" s="141" t="s">
        <v>526</v>
      </c>
      <c r="F729" s="148">
        <v>350.0</v>
      </c>
      <c r="G729" s="101" t="s">
        <v>11</v>
      </c>
      <c r="H729" s="97"/>
      <c r="I729" s="86"/>
      <c r="J729" s="130"/>
      <c r="K729" s="130"/>
    </row>
    <row r="730" ht="15.75" customHeight="1">
      <c r="A730" s="146">
        <v>45688.0</v>
      </c>
      <c r="B730" s="81" t="str">
        <f t="shared" si="1"/>
        <v>2025-01</v>
      </c>
      <c r="C730" s="143">
        <v>2.000027E8</v>
      </c>
      <c r="D730" s="125" t="str">
        <f>IFERROR(VLOOKUP(C730,produto,2,FALSE), "Produto não encontrado")</f>
        <v>THINNER / LIMPEZA E ACABAMENTO 900ML</v>
      </c>
      <c r="E730" s="141" t="s">
        <v>526</v>
      </c>
      <c r="F730" s="148">
        <v>50.0</v>
      </c>
      <c r="G730" s="101" t="s">
        <v>11</v>
      </c>
      <c r="H730" s="97"/>
      <c r="I730" s="86"/>
      <c r="J730" s="130"/>
      <c r="K730" s="130"/>
    </row>
    <row r="731" ht="15.75" customHeight="1">
      <c r="A731" s="146">
        <v>45688.0</v>
      </c>
      <c r="B731" s="81" t="str">
        <f t="shared" si="1"/>
        <v>2025-01</v>
      </c>
      <c r="C731" s="103">
        <v>2.0002429E8</v>
      </c>
      <c r="D731" s="125" t="str">
        <f>IFERROR(VLOOKUP(C731,produto,2,FALSE), "Produto não encontrado")</f>
        <v>TRINCHA 3/4 </v>
      </c>
      <c r="E731" s="141" t="s">
        <v>526</v>
      </c>
      <c r="F731" s="148">
        <v>100.0</v>
      </c>
      <c r="G731" s="101" t="s">
        <v>11</v>
      </c>
      <c r="H731" s="97"/>
      <c r="I731" s="86"/>
      <c r="J731" s="130"/>
      <c r="K731" s="130"/>
    </row>
    <row r="732" ht="15.75" customHeight="1">
      <c r="A732" s="146">
        <v>45688.0</v>
      </c>
      <c r="B732" s="81" t="str">
        <f t="shared" si="1"/>
        <v>2025-01</v>
      </c>
      <c r="C732" s="103">
        <v>2.00026827E8</v>
      </c>
      <c r="D732" s="125" t="str">
        <f>IFERROR(VLOOKUP(C732,produto,2,FALSE), "Produto não encontrado")</f>
        <v>TRINCHA 3</v>
      </c>
      <c r="E732" s="141" t="s">
        <v>526</v>
      </c>
      <c r="F732" s="148">
        <v>50.0</v>
      </c>
      <c r="G732" s="101" t="s">
        <v>11</v>
      </c>
      <c r="H732" s="97"/>
      <c r="I732" s="86"/>
      <c r="J732" s="130"/>
      <c r="K732" s="130"/>
    </row>
    <row r="733" ht="15.75" customHeight="1">
      <c r="A733" s="140">
        <v>45658.0</v>
      </c>
      <c r="B733" s="81" t="str">
        <f t="shared" si="1"/>
        <v>2025-01</v>
      </c>
      <c r="C733" s="124" t="s">
        <v>9</v>
      </c>
      <c r="D733" s="125" t="str">
        <f>IFERROR(VLOOKUP(C733,produto,2,FALSE), "Produto não encontrado")</f>
        <v>Algodão Hidrófilo Bola 100gr</v>
      </c>
      <c r="E733" s="141" t="s">
        <v>526</v>
      </c>
      <c r="F733" s="133">
        <v>2.0</v>
      </c>
      <c r="G733" s="101" t="s">
        <v>11</v>
      </c>
      <c r="H733" s="97"/>
      <c r="I733" s="86"/>
      <c r="J733" s="130"/>
      <c r="K733" s="130"/>
    </row>
    <row r="734" ht="15.75" customHeight="1">
      <c r="A734" s="90">
        <v>45541.0</v>
      </c>
      <c r="B734" s="81" t="str">
        <f t="shared" si="1"/>
        <v>2024-09</v>
      </c>
      <c r="C734" s="108">
        <v>2.00085843E8</v>
      </c>
      <c r="D734" s="125" t="str">
        <f>IFERROR(VLOOKUP(C734,produto,2,FALSE), "Produto não encontrado")</f>
        <v>ART. DO JOELHO DESARTICULAÇÃO LIVRE - AÇO</v>
      </c>
      <c r="E734" s="92" t="s">
        <v>526</v>
      </c>
      <c r="F734" s="93">
        <v>20.0</v>
      </c>
      <c r="G734" s="101" t="s">
        <v>11</v>
      </c>
      <c r="H734" s="97"/>
      <c r="I734" s="86"/>
      <c r="J734" s="130"/>
      <c r="K734" s="130"/>
    </row>
    <row r="735" ht="15.75" customHeight="1">
      <c r="A735" s="90">
        <v>45541.0</v>
      </c>
      <c r="B735" s="81" t="str">
        <f t="shared" si="1"/>
        <v>2024-09</v>
      </c>
      <c r="C735" s="149" t="s">
        <v>424</v>
      </c>
      <c r="D735" s="125" t="str">
        <f>IFERROR(VLOOKUP(C735,produto,2,FALSE), "Produto não encontrado")</f>
        <v>DISTRATOR PEQUENO</v>
      </c>
      <c r="E735" s="92" t="s">
        <v>526</v>
      </c>
      <c r="F735" s="93">
        <v>20.0</v>
      </c>
      <c r="G735" s="101" t="s">
        <v>11</v>
      </c>
      <c r="H735" s="97"/>
      <c r="I735" s="86"/>
      <c r="J735" s="130"/>
      <c r="K735" s="130"/>
    </row>
    <row r="736" ht="15.75" customHeight="1">
      <c r="A736" s="90">
        <v>45541.0</v>
      </c>
      <c r="B736" s="81" t="str">
        <f t="shared" si="1"/>
        <v>2024-09</v>
      </c>
      <c r="C736" s="150" t="s">
        <v>422</v>
      </c>
      <c r="D736" s="125" t="str">
        <f>IFERROR(VLOOKUP(C736,produto,2,FALSE), "Produto não encontrado")</f>
        <v>DISTRATOR MEDIO</v>
      </c>
      <c r="E736" s="92" t="s">
        <v>526</v>
      </c>
      <c r="F736" s="93">
        <v>80.0</v>
      </c>
      <c r="G736" s="101" t="s">
        <v>11</v>
      </c>
      <c r="H736" s="97"/>
      <c r="I736" s="86"/>
      <c r="J736" s="130"/>
      <c r="K736" s="130"/>
    </row>
    <row r="737" ht="15.75" customHeight="1">
      <c r="A737" s="90">
        <v>45541.0</v>
      </c>
      <c r="B737" s="81" t="str">
        <f t="shared" si="1"/>
        <v>2024-09</v>
      </c>
      <c r="C737" s="151" t="s">
        <v>420</v>
      </c>
      <c r="D737" s="125" t="str">
        <f>IFERROR(VLOOKUP(C737,produto,2,FALSE), "Produto não encontrado")</f>
        <v>DISTRATOR GRANDE</v>
      </c>
      <c r="E737" s="92" t="s">
        <v>526</v>
      </c>
      <c r="F737" s="93">
        <v>80.0</v>
      </c>
      <c r="G737" s="101" t="s">
        <v>11</v>
      </c>
      <c r="H737" s="97"/>
      <c r="I737" s="86"/>
      <c r="J737" s="130"/>
      <c r="K737" s="130"/>
    </row>
    <row r="738" ht="15.75" customHeight="1">
      <c r="A738" s="90">
        <v>45541.0</v>
      </c>
      <c r="B738" s="81" t="str">
        <f t="shared" si="1"/>
        <v>2024-09</v>
      </c>
      <c r="C738" s="150" t="s">
        <v>417</v>
      </c>
      <c r="D738" s="125" t="str">
        <f>IFERROR(VLOOKUP(C738,produto,2,FALSE), "Produto não encontrado")</f>
        <v>DISTRATOR EX/GRANDE</v>
      </c>
      <c r="E738" s="92" t="s">
        <v>526</v>
      </c>
      <c r="F738" s="93">
        <v>20.0</v>
      </c>
      <c r="G738" s="101" t="s">
        <v>11</v>
      </c>
      <c r="H738" s="97"/>
      <c r="I738" s="86"/>
      <c r="J738" s="130"/>
      <c r="K738" s="130"/>
    </row>
    <row r="739" ht="15.75" customHeight="1">
      <c r="A739" s="90">
        <v>45541.0</v>
      </c>
      <c r="B739" s="81" t="str">
        <f t="shared" si="1"/>
        <v>2024-09</v>
      </c>
      <c r="C739" s="108">
        <v>2.00085557E8</v>
      </c>
      <c r="D739" s="125" t="str">
        <f>IFERROR(VLOOKUP(C739,produto,2,FALSE), "Produto não encontrado")</f>
        <v>ADAP. COM 3 HASTES C/ PIRAMIDE FIXO UNICO/UNICO</v>
      </c>
      <c r="E739" s="92" t="s">
        <v>526</v>
      </c>
      <c r="F739" s="93">
        <v>20.0</v>
      </c>
      <c r="G739" s="101" t="s">
        <v>11</v>
      </c>
      <c r="H739" s="97"/>
      <c r="I739" s="86"/>
      <c r="J739" s="130"/>
      <c r="K739" s="130"/>
    </row>
    <row r="740" ht="15.75" customHeight="1">
      <c r="A740" s="90">
        <v>45541.0</v>
      </c>
      <c r="B740" s="81" t="str">
        <f t="shared" si="1"/>
        <v>2024-09</v>
      </c>
      <c r="C740" s="108">
        <v>2.0008555E8</v>
      </c>
      <c r="D740" s="125" t="str">
        <f>IFERROR(VLOOKUP(C740,produto,2,FALSE), "Produto não encontrado")</f>
        <v>ADAP. DUPLO ANGULADO</v>
      </c>
      <c r="E740" s="92" t="s">
        <v>526</v>
      </c>
      <c r="F740" s="93">
        <v>20.0</v>
      </c>
      <c r="G740" s="101" t="s">
        <v>11</v>
      </c>
      <c r="H740" s="97"/>
      <c r="I740" s="86"/>
      <c r="J740" s="130"/>
      <c r="K740" s="130"/>
    </row>
    <row r="741" ht="15.75" customHeight="1">
      <c r="A741" s="90">
        <v>45541.0</v>
      </c>
      <c r="B741" s="81" t="str">
        <f t="shared" si="1"/>
        <v>2024-09</v>
      </c>
      <c r="C741" s="108">
        <v>2.00085546E8</v>
      </c>
      <c r="D741" s="125" t="str">
        <f>IFERROR(VLOOKUP(C741,produto,2,FALSE), "Produto não encontrado")</f>
        <v>ADAP. MODULAR PARA PE 004/AÇO</v>
      </c>
      <c r="E741" s="92" t="s">
        <v>526</v>
      </c>
      <c r="F741" s="93">
        <v>20.0</v>
      </c>
      <c r="G741" s="101" t="s">
        <v>11</v>
      </c>
      <c r="H741" s="97"/>
      <c r="I741" s="86"/>
      <c r="J741" s="130"/>
      <c r="K741" s="130"/>
    </row>
    <row r="742" ht="15.75" customHeight="1">
      <c r="A742" s="90">
        <v>45541.0</v>
      </c>
      <c r="B742" s="81" t="str">
        <f t="shared" si="1"/>
        <v>2024-09</v>
      </c>
      <c r="C742" s="108">
        <v>2.00085855E8</v>
      </c>
      <c r="D742" s="125" t="str">
        <f>IFERROR(VLOOKUP(C742,produto,2,FALSE), "Produto não encontrado")</f>
        <v>MÃO DE SISTEMA EM POLIURETANO</v>
      </c>
      <c r="E742" s="92" t="s">
        <v>526</v>
      </c>
      <c r="F742" s="93">
        <v>5.0</v>
      </c>
      <c r="G742" s="101" t="s">
        <v>11</v>
      </c>
      <c r="H742" s="97"/>
      <c r="I742" s="86"/>
      <c r="J742" s="130"/>
      <c r="K742" s="130"/>
    </row>
    <row r="743" ht="15.75" customHeight="1">
      <c r="A743" s="90">
        <v>45541.0</v>
      </c>
      <c r="B743" s="81" t="str">
        <f t="shared" si="1"/>
        <v>2024-09</v>
      </c>
      <c r="C743" s="108">
        <v>2.00085841E8</v>
      </c>
      <c r="D743" s="125" t="str">
        <f>IFERROR(VLOOKUP(C743,produto,2,FALSE), "Produto não encontrado")</f>
        <v>JOELHO COM BLOQUEIO AUTOMATICO UNICO/AÇO</v>
      </c>
      <c r="E743" s="92" t="s">
        <v>526</v>
      </c>
      <c r="F743" s="93">
        <v>20.0</v>
      </c>
      <c r="G743" s="101" t="s">
        <v>11</v>
      </c>
      <c r="H743" s="97"/>
      <c r="I743" s="86"/>
      <c r="J743" s="130"/>
      <c r="K743" s="130"/>
    </row>
    <row r="744" ht="15.75" customHeight="1">
      <c r="A744" s="90">
        <v>45541.0</v>
      </c>
      <c r="B744" s="81" t="str">
        <f t="shared" si="1"/>
        <v>2024-09</v>
      </c>
      <c r="C744" s="108">
        <v>2.00085556E8</v>
      </c>
      <c r="D744" s="125" t="str">
        <f>IFERROR(VLOOKUP(C744,produto,2,FALSE), "Produto não encontrado")</f>
        <v>ADAP. MODULAR COM ROSCA INTERNA</v>
      </c>
      <c r="E744" s="92" t="s">
        <v>526</v>
      </c>
      <c r="F744" s="93">
        <v>20.0</v>
      </c>
      <c r="G744" s="101" t="s">
        <v>11</v>
      </c>
      <c r="H744" s="97"/>
      <c r="I744" s="86"/>
      <c r="J744" s="130"/>
      <c r="K744" s="130"/>
    </row>
    <row r="745" ht="15.75" customHeight="1">
      <c r="A745" s="90">
        <v>45541.0</v>
      </c>
      <c r="B745" s="81" t="str">
        <f t="shared" si="1"/>
        <v>2024-09</v>
      </c>
      <c r="C745" s="108">
        <v>2.00085852E8</v>
      </c>
      <c r="D745" s="125" t="str">
        <f>IFERROR(VLOOKUP(C745,produto,2,FALSE), "Produto não encontrado")</f>
        <v>COTOVELO MODULAR COM TRAVA PASSIVA</v>
      </c>
      <c r="E745" s="92" t="s">
        <v>526</v>
      </c>
      <c r="F745" s="93">
        <v>10.0</v>
      </c>
      <c r="G745" s="101" t="s">
        <v>11</v>
      </c>
      <c r="H745" s="97"/>
      <c r="I745" s="86"/>
      <c r="J745" s="130"/>
      <c r="K745" s="130"/>
    </row>
    <row r="746" ht="15.75" customHeight="1">
      <c r="A746" s="90">
        <v>45541.0</v>
      </c>
      <c r="B746" s="81" t="str">
        <f t="shared" si="1"/>
        <v>2024-09</v>
      </c>
      <c r="C746" s="108">
        <v>2.00085567E8</v>
      </c>
      <c r="D746" s="125" t="str">
        <f>IFERROR(VLOOKUP(C746,produto,2,FALSE), "Produto não encontrado")</f>
        <v>ADAPTADOR COM 3 HASTES PIRAMIDE ROTATIVO </v>
      </c>
      <c r="E746" s="92" t="s">
        <v>526</v>
      </c>
      <c r="F746" s="93">
        <v>20.0</v>
      </c>
      <c r="G746" s="101" t="s">
        <v>11</v>
      </c>
      <c r="H746" s="97"/>
      <c r="I746" s="86"/>
      <c r="J746" s="130"/>
      <c r="K746" s="130"/>
    </row>
    <row r="747" ht="15.75" customHeight="1">
      <c r="A747" s="90">
        <v>45541.0</v>
      </c>
      <c r="B747" s="81" t="str">
        <f t="shared" si="1"/>
        <v>2024-09</v>
      </c>
      <c r="C747" s="108">
        <v>2.00085538E8</v>
      </c>
      <c r="D747" s="125" t="str">
        <f>IFERROR(VLOOKUP(C747,produto,2,FALSE), "Produto não encontrado")</f>
        <v>DILEFIT - ACESS. P/ COLOCAR PROTESE GRANDE</v>
      </c>
      <c r="E747" s="92" t="s">
        <v>526</v>
      </c>
      <c r="F747" s="93">
        <v>20.0</v>
      </c>
      <c r="G747" s="101" t="s">
        <v>11</v>
      </c>
      <c r="H747" s="97"/>
      <c r="I747" s="86"/>
      <c r="J747" s="130"/>
      <c r="K747" s="130"/>
    </row>
    <row r="748" ht="15.75" customHeight="1">
      <c r="A748" s="90">
        <v>45541.0</v>
      </c>
      <c r="B748" s="81" t="str">
        <f t="shared" si="1"/>
        <v>2024-09</v>
      </c>
      <c r="C748" s="108">
        <v>2.00085539E8</v>
      </c>
      <c r="D748" s="125" t="str">
        <f>IFERROR(VLOOKUP(C748,produto,2,FALSE), "Produto não encontrado")</f>
        <v>DILEFIT - ACESS. P/ COLOCAR PROTESE MEDIO</v>
      </c>
      <c r="E748" s="92" t="s">
        <v>526</v>
      </c>
      <c r="F748" s="93">
        <v>20.0</v>
      </c>
      <c r="G748" s="101" t="s">
        <v>11</v>
      </c>
      <c r="H748" s="97"/>
      <c r="I748" s="86"/>
      <c r="J748" s="130"/>
      <c r="K748" s="130"/>
    </row>
    <row r="749" ht="15.75" customHeight="1">
      <c r="A749" s="90">
        <v>45541.0</v>
      </c>
      <c r="B749" s="81" t="str">
        <f t="shared" si="1"/>
        <v>2024-09</v>
      </c>
      <c r="C749" s="108">
        <v>2.00085586E8</v>
      </c>
      <c r="D749" s="125" t="str">
        <f>IFERROR(VLOOKUP(C749,produto,2,FALSE), "Produto não encontrado")</f>
        <v>TUBO CURTO ADAPTADOR MOD. 200M/ACO</v>
      </c>
      <c r="E749" s="92" t="s">
        <v>526</v>
      </c>
      <c r="F749" s="93">
        <v>20.0</v>
      </c>
      <c r="G749" s="101" t="s">
        <v>11</v>
      </c>
      <c r="H749" s="97"/>
      <c r="I749" s="86"/>
      <c r="J749" s="130"/>
      <c r="K749" s="130"/>
    </row>
    <row r="750" ht="15.75" customHeight="1">
      <c r="A750" s="90">
        <v>45541.0</v>
      </c>
      <c r="B750" s="81" t="str">
        <f t="shared" si="1"/>
        <v>2024-09</v>
      </c>
      <c r="C750" s="108">
        <v>2.00085836E8</v>
      </c>
      <c r="D750" s="125" t="str">
        <f>IFERROR(VLOOKUP(C750,produto,2,FALSE), "Produto não encontrado")</f>
        <v>TUBO LONGO 30MM</v>
      </c>
      <c r="E750" s="92" t="s">
        <v>526</v>
      </c>
      <c r="F750" s="93">
        <v>10.0</v>
      </c>
      <c r="G750" s="101" t="s">
        <v>11</v>
      </c>
      <c r="H750" s="97"/>
      <c r="I750" s="86"/>
      <c r="J750" s="130"/>
      <c r="K750" s="130"/>
    </row>
    <row r="751" ht="15.75" customHeight="1">
      <c r="A751" s="90">
        <v>45541.0</v>
      </c>
      <c r="B751" s="81" t="str">
        <f t="shared" si="1"/>
        <v>2024-09</v>
      </c>
      <c r="C751" s="108">
        <v>2.0008557E8</v>
      </c>
      <c r="D751" s="125" t="str">
        <f>IFERROR(VLOOKUP(C751,produto,2,FALSE), "Produto não encontrado")</f>
        <v>ADAP. TUBO C/ BRAÇADEIRA AÇO</v>
      </c>
      <c r="E751" s="92" t="s">
        <v>526</v>
      </c>
      <c r="F751" s="93">
        <v>40.0</v>
      </c>
      <c r="G751" s="101" t="s">
        <v>11</v>
      </c>
      <c r="H751" s="97"/>
      <c r="I751" s="86"/>
      <c r="J751" s="130"/>
      <c r="K751" s="130"/>
    </row>
    <row r="752" ht="15.75" customHeight="1">
      <c r="A752" s="90">
        <v>45541.0</v>
      </c>
      <c r="B752" s="81" t="str">
        <f t="shared" si="1"/>
        <v>2024-09</v>
      </c>
      <c r="C752" s="108">
        <v>2.00085555E8</v>
      </c>
      <c r="D752" s="125" t="str">
        <f>IFERROR(VLOOKUP(C752,produto,2,FALSE), "Produto não encontrado")</f>
        <v>ADAPTADOR COM 3 HASTES UNICO/AÇO </v>
      </c>
      <c r="E752" s="92" t="s">
        <v>526</v>
      </c>
      <c r="F752" s="93">
        <v>20.0</v>
      </c>
      <c r="G752" s="101" t="s">
        <v>11</v>
      </c>
      <c r="H752" s="97"/>
      <c r="I752" s="86"/>
      <c r="J752" s="130"/>
      <c r="K752" s="130"/>
    </row>
    <row r="753" ht="15.75" customHeight="1">
      <c r="A753" s="90">
        <v>45541.0</v>
      </c>
      <c r="B753" s="81" t="str">
        <f t="shared" si="1"/>
        <v>2024-09</v>
      </c>
      <c r="C753" s="108">
        <v>2.00085838E8</v>
      </c>
      <c r="D753" s="125" t="str">
        <f>IFERROR(VLOOKUP(C753,produto,2,FALSE), "Produto não encontrado")</f>
        <v>ARTIC JOELHO TRAVA ANEL M2 20MM D/E/UNCIO</v>
      </c>
      <c r="E753" s="92" t="s">
        <v>526</v>
      </c>
      <c r="F753" s="93">
        <v>20.0</v>
      </c>
      <c r="G753" s="101" t="s">
        <v>11</v>
      </c>
      <c r="H753" s="97"/>
      <c r="I753" s="86"/>
      <c r="J753" s="130"/>
      <c r="K753" s="130"/>
    </row>
    <row r="754" ht="15.75" customHeight="1">
      <c r="A754" s="90">
        <v>45541.0</v>
      </c>
      <c r="B754" s="81" t="str">
        <f t="shared" si="1"/>
        <v>2024-09</v>
      </c>
      <c r="C754" s="108">
        <v>2.0008584E8</v>
      </c>
      <c r="D754" s="125" t="str">
        <f>IFERROR(VLOOKUP(C754,produto,2,FALSE), "Produto não encontrado")</f>
        <v>JOELHO COM LIVRE COM IMPULSOR INTERNO</v>
      </c>
      <c r="E754" s="92" t="s">
        <v>526</v>
      </c>
      <c r="F754" s="93">
        <v>20.0</v>
      </c>
      <c r="G754" s="101" t="s">
        <v>11</v>
      </c>
      <c r="H754" s="97"/>
      <c r="I754" s="86"/>
      <c r="J754" s="130"/>
      <c r="K754" s="130"/>
    </row>
    <row r="755" ht="15.75" customHeight="1">
      <c r="A755" s="90">
        <v>45541.0</v>
      </c>
      <c r="B755" s="81" t="str">
        <f t="shared" si="1"/>
        <v>2024-09</v>
      </c>
      <c r="C755" s="107">
        <v>2.00085881E8</v>
      </c>
      <c r="D755" s="125" t="str">
        <f>IFERROR(VLOOKUP(C755,produto,2,FALSE), "Produto não encontrado")</f>
        <v>HASTE DE ALUMINIO LONDO D/E/20</v>
      </c>
      <c r="E755" s="92" t="s">
        <v>526</v>
      </c>
      <c r="F755" s="93">
        <v>20.0</v>
      </c>
      <c r="G755" s="101" t="s">
        <v>11</v>
      </c>
      <c r="H755" s="97"/>
      <c r="I755" s="86"/>
      <c r="J755" s="130"/>
      <c r="K755" s="130"/>
    </row>
    <row r="756" ht="15.75" customHeight="1">
      <c r="A756" s="90">
        <v>45541.0</v>
      </c>
      <c r="B756" s="81" t="str">
        <f t="shared" si="1"/>
        <v>2024-09</v>
      </c>
      <c r="C756" s="108">
        <v>2.00085846E8</v>
      </c>
      <c r="D756" s="125" t="str">
        <f>IFERROR(VLOOKUP(C756,produto,2,FALSE), "Produto não encontrado")</f>
        <v>ART. MODULAR QUADRIL QUATRO BARRAS UNICO/AÇO </v>
      </c>
      <c r="E756" s="92" t="s">
        <v>526</v>
      </c>
      <c r="F756" s="93">
        <v>10.0</v>
      </c>
      <c r="G756" s="101" t="s">
        <v>11</v>
      </c>
      <c r="H756" s="97"/>
      <c r="I756" s="86"/>
      <c r="J756" s="130"/>
      <c r="K756" s="130"/>
    </row>
    <row r="757" ht="15.75" customHeight="1">
      <c r="A757" s="90">
        <v>45541.0</v>
      </c>
      <c r="B757" s="81" t="str">
        <f t="shared" si="1"/>
        <v>2024-09</v>
      </c>
      <c r="C757" s="108">
        <v>2.00085859E8</v>
      </c>
      <c r="D757" s="125" t="str">
        <f>IFERROR(VLOOKUP(C757,produto,2,FALSE), "Produto não encontrado")</f>
        <v>PE SACH COM DEDOS DIREITO</v>
      </c>
      <c r="E757" s="92" t="s">
        <v>526</v>
      </c>
      <c r="F757" s="93">
        <v>10.0</v>
      </c>
      <c r="G757" s="101" t="s">
        <v>11</v>
      </c>
      <c r="H757" s="97"/>
      <c r="I757" s="86"/>
      <c r="J757" s="130"/>
      <c r="K757" s="130"/>
    </row>
    <row r="758" ht="15.75" customHeight="1">
      <c r="A758" s="90">
        <v>45541.0</v>
      </c>
      <c r="B758" s="81" t="str">
        <f t="shared" si="1"/>
        <v>2024-09</v>
      </c>
      <c r="C758" s="108">
        <v>2.00085861E8</v>
      </c>
      <c r="D758" s="125" t="str">
        <f>IFERROR(VLOOKUP(C758,produto,2,FALSE), "Produto não encontrado")</f>
        <v>PE SACH COM DEDOS ESQUERDO</v>
      </c>
      <c r="E758" s="92" t="s">
        <v>526</v>
      </c>
      <c r="F758" s="93">
        <v>10.0</v>
      </c>
      <c r="G758" s="101" t="s">
        <v>11</v>
      </c>
      <c r="H758" s="97"/>
      <c r="I758" s="86"/>
      <c r="J758" s="130"/>
      <c r="K758" s="130"/>
    </row>
    <row r="759" ht="15.75" customHeight="1">
      <c r="A759" s="90">
        <v>45541.0</v>
      </c>
      <c r="B759" s="81" t="str">
        <f t="shared" si="1"/>
        <v>2024-09</v>
      </c>
      <c r="C759" s="108">
        <v>2.00085856E8</v>
      </c>
      <c r="D759" s="125" t="str">
        <f>IFERROR(VLOOKUP(C759,produto,2,FALSE), "Produto não encontrado")</f>
        <v>PE SACH INFANTIL DIREITO</v>
      </c>
      <c r="E759" s="92" t="s">
        <v>526</v>
      </c>
      <c r="F759" s="93">
        <v>10.0</v>
      </c>
      <c r="G759" s="101" t="s">
        <v>11</v>
      </c>
      <c r="H759" s="97"/>
      <c r="I759" s="86"/>
      <c r="J759" s="130"/>
      <c r="K759" s="130"/>
    </row>
    <row r="760" ht="15.75" customHeight="1">
      <c r="A760" s="90">
        <v>45541.0</v>
      </c>
      <c r="B760" s="81" t="str">
        <f t="shared" si="1"/>
        <v>2024-09</v>
      </c>
      <c r="C760" s="108">
        <v>2.00085858E8</v>
      </c>
      <c r="D760" s="125" t="str">
        <f>IFERROR(VLOOKUP(C760,produto,2,FALSE), "Produto não encontrado")</f>
        <v>PE SACH INFANTIL ESQUERDO</v>
      </c>
      <c r="E760" s="92" t="s">
        <v>526</v>
      </c>
      <c r="F760" s="93">
        <v>10.0</v>
      </c>
      <c r="G760" s="101" t="s">
        <v>11</v>
      </c>
      <c r="H760" s="97"/>
      <c r="I760" s="86"/>
      <c r="J760" s="130"/>
      <c r="K760" s="130"/>
    </row>
    <row r="761" ht="15.75" customHeight="1">
      <c r="A761" s="90">
        <v>45541.0</v>
      </c>
      <c r="B761" s="81" t="str">
        <f t="shared" si="1"/>
        <v>2024-09</v>
      </c>
      <c r="C761" s="108">
        <v>2.00085845E8</v>
      </c>
      <c r="D761" s="125" t="str">
        <f>IFERROR(VLOOKUP(C761,produto,2,FALSE), "Produto não encontrado")</f>
        <v>ART. MODULAR QUADRIL QUATRO BARRAS UNICO/ALUMINIO (infantil)</v>
      </c>
      <c r="E761" s="92" t="s">
        <v>526</v>
      </c>
      <c r="F761" s="93">
        <v>20.0</v>
      </c>
      <c r="G761" s="101" t="s">
        <v>11</v>
      </c>
      <c r="H761" s="97"/>
      <c r="I761" s="86"/>
      <c r="J761" s="130"/>
      <c r="K761" s="130"/>
    </row>
    <row r="762" ht="15.75" customHeight="1">
      <c r="A762" s="90">
        <v>45541.0</v>
      </c>
      <c r="B762" s="81" t="str">
        <f t="shared" si="1"/>
        <v>2024-09</v>
      </c>
      <c r="C762" s="152">
        <v>2.0008588E8</v>
      </c>
      <c r="D762" s="125" t="str">
        <f>IFERROR(VLOOKUP(C762,produto,2,FALSE), "Produto não encontrado")</f>
        <v>ART. MODULAR PARA OMBRO</v>
      </c>
      <c r="E762" s="92" t="s">
        <v>526</v>
      </c>
      <c r="F762" s="93">
        <v>20.0</v>
      </c>
      <c r="G762" s="101" t="s">
        <v>11</v>
      </c>
      <c r="H762" s="97"/>
      <c r="I762" s="86"/>
      <c r="J762" s="130"/>
      <c r="K762" s="130"/>
    </row>
    <row r="763" ht="15.75" customHeight="1">
      <c r="A763" s="90">
        <v>45541.0</v>
      </c>
      <c r="B763" s="81" t="str">
        <f t="shared" si="1"/>
        <v>2024-09</v>
      </c>
      <c r="C763" s="153" t="s">
        <v>441</v>
      </c>
      <c r="D763" s="125" t="str">
        <f>IFERROR(VLOOKUP(C763,produto,2,FALSE), "Produto não encontrado")</f>
        <v>CONJUNTO DE ALMOFADAS PADRAO/UNICO (COLETE MILWAUKEE)</v>
      </c>
      <c r="E763" s="92" t="s">
        <v>526</v>
      </c>
      <c r="F763" s="93">
        <v>20.0</v>
      </c>
      <c r="G763" s="101"/>
      <c r="H763" s="97"/>
      <c r="I763" s="86"/>
      <c r="J763" s="130"/>
      <c r="K763" s="130"/>
    </row>
    <row r="764" ht="15.75" customHeight="1">
      <c r="A764" s="90">
        <v>45541.0</v>
      </c>
      <c r="B764" s="81" t="str">
        <f t="shared" si="1"/>
        <v>2024-09</v>
      </c>
      <c r="C764" s="149" t="s">
        <v>439</v>
      </c>
      <c r="D764" s="125" t="str">
        <f>IFERROR(VLOOKUP(C764,produto,2,FALSE), "Produto não encontrado")</f>
        <v>COLAR DE MILWAKEE - KIT P/ MILWAUKEE PEQUENO</v>
      </c>
      <c r="E764" s="92" t="s">
        <v>526</v>
      </c>
      <c r="F764" s="93">
        <v>4.0</v>
      </c>
      <c r="G764" s="101" t="s">
        <v>11</v>
      </c>
      <c r="H764" s="97"/>
      <c r="I764" s="86"/>
      <c r="J764" s="130"/>
      <c r="K764" s="130"/>
    </row>
    <row r="765" ht="15.75" customHeight="1">
      <c r="A765" s="90">
        <v>45541.0</v>
      </c>
      <c r="B765" s="81" t="str">
        <f t="shared" si="1"/>
        <v>2024-09</v>
      </c>
      <c r="C765" s="150" t="s">
        <v>437</v>
      </c>
      <c r="D765" s="125" t="str">
        <f>IFERROR(VLOOKUP(C765,produto,2,FALSE), "Produto não encontrado")</f>
        <v>COLAR DE MILWAKEE - KIT P/ MILWAUKEE MEDIO</v>
      </c>
      <c r="E765" s="92" t="s">
        <v>526</v>
      </c>
      <c r="F765" s="93">
        <v>10.0</v>
      </c>
      <c r="G765" s="101" t="s">
        <v>11</v>
      </c>
      <c r="H765" s="97"/>
      <c r="I765" s="86"/>
      <c r="J765" s="130"/>
      <c r="K765" s="130"/>
    </row>
    <row r="766" ht="15.75" customHeight="1">
      <c r="A766" s="90">
        <v>45541.0</v>
      </c>
      <c r="B766" s="81" t="str">
        <f t="shared" si="1"/>
        <v>2024-09</v>
      </c>
      <c r="C766" s="120" t="s">
        <v>433</v>
      </c>
      <c r="D766" s="125" t="str">
        <f>IFERROR(VLOOKUP(C766,produto,2,FALSE), "Produto não encontrado")</f>
        <v>COLAR DE MILWAKEE - KIT P/ MILWAUKEE GRANDE</v>
      </c>
      <c r="E766" s="92" t="s">
        <v>526</v>
      </c>
      <c r="F766" s="93">
        <v>6.0</v>
      </c>
      <c r="G766" s="101" t="s">
        <v>11</v>
      </c>
      <c r="H766" s="97"/>
      <c r="I766" s="86"/>
      <c r="J766" s="130"/>
      <c r="K766" s="130"/>
    </row>
    <row r="767" ht="15.75" customHeight="1">
      <c r="A767" s="90">
        <v>45541.0</v>
      </c>
      <c r="B767" s="81" t="str">
        <f t="shared" si="1"/>
        <v>2024-09</v>
      </c>
      <c r="C767" s="124">
        <v>2.00085864E8</v>
      </c>
      <c r="D767" s="125" t="str">
        <f>IFERROR(VLOOKUP(C767,produto,2,FALSE), "Produto não encontrado")</f>
        <v>REVESTIMENTO COSMET. P/PROTESES ESPUMA LONGO</v>
      </c>
      <c r="E767" s="92" t="s">
        <v>526</v>
      </c>
      <c r="F767" s="93">
        <v>20.0</v>
      </c>
      <c r="G767" s="101" t="s">
        <v>11</v>
      </c>
      <c r="H767" s="97"/>
      <c r="I767" s="86"/>
      <c r="J767" s="130"/>
      <c r="K767" s="130"/>
    </row>
    <row r="768" ht="15.75" customHeight="1">
      <c r="A768" s="90">
        <v>45541.0</v>
      </c>
      <c r="B768" s="81" t="str">
        <f t="shared" si="1"/>
        <v>2024-09</v>
      </c>
      <c r="C768" s="124">
        <v>2.00085863E8</v>
      </c>
      <c r="D768" s="125" t="str">
        <f>IFERROR(VLOOKUP(C768,produto,2,FALSE), "Produto não encontrado")</f>
        <v>REVESTIMENTO COSMET. P/PROTESES - ESPUMA UNICO UNICO/CURTO</v>
      </c>
      <c r="E768" s="92" t="s">
        <v>526</v>
      </c>
      <c r="F768" s="93">
        <v>20.0</v>
      </c>
      <c r="G768" s="101" t="s">
        <v>11</v>
      </c>
      <c r="H768" s="97"/>
      <c r="I768" s="86"/>
      <c r="J768" s="130"/>
      <c r="K768" s="130"/>
    </row>
    <row r="769" ht="15.75" customHeight="1">
      <c r="A769" s="90">
        <v>45541.0</v>
      </c>
      <c r="B769" s="81" t="str">
        <f t="shared" si="1"/>
        <v>2024-09</v>
      </c>
      <c r="C769" s="103">
        <v>2.00000029E8</v>
      </c>
      <c r="D769" s="125" t="str">
        <f>IFERROR(VLOOKUP(C769,produto,2,FALSE), "Produto não encontrado")</f>
        <v>TUBO GALV. 3/4 1,55MM 6M</v>
      </c>
      <c r="E769" s="92" t="s">
        <v>528</v>
      </c>
      <c r="F769" s="93">
        <v>2.0</v>
      </c>
      <c r="G769" s="106" t="s">
        <v>571</v>
      </c>
      <c r="H769" s="97"/>
      <c r="I769" s="86"/>
      <c r="J769" s="130"/>
      <c r="K769" s="130"/>
    </row>
    <row r="770" ht="15.75" customHeight="1">
      <c r="A770" s="90">
        <v>45538.0</v>
      </c>
      <c r="B770" s="81" t="str">
        <f t="shared" si="1"/>
        <v>2024-09</v>
      </c>
      <c r="C770" s="127">
        <v>2.00061185E8</v>
      </c>
      <c r="D770" s="91" t="str">
        <f>IFERROR(VLOOKUP(C770,produto,2,FALSE), "Produto não encontrado")</f>
        <v>LAMINA PARA ESTILETE ESTREITO DE 18CM</v>
      </c>
      <c r="E770" s="92" t="s">
        <v>528</v>
      </c>
      <c r="F770" s="93">
        <v>1.0</v>
      </c>
      <c r="G770" s="106" t="s">
        <v>575</v>
      </c>
      <c r="H770" s="97"/>
      <c r="I770" s="86"/>
      <c r="J770" s="130"/>
      <c r="K770" s="130"/>
    </row>
    <row r="771" ht="15.75" customHeight="1">
      <c r="A771" s="90">
        <v>45538.0</v>
      </c>
      <c r="B771" s="81" t="str">
        <f t="shared" si="1"/>
        <v>2024-09</v>
      </c>
      <c r="C771" s="127">
        <v>2.00075793E8</v>
      </c>
      <c r="D771" s="91" t="str">
        <f>IFERROR(VLOOKUP(C771,produto,2,FALSE), "Produto não encontrado")</f>
        <v>MASCARA DE PROTEÇÃO PFF2 FILTRO N95 COM VALVULA SUPER SAFETY (azul)</v>
      </c>
      <c r="E771" s="92" t="s">
        <v>528</v>
      </c>
      <c r="F771" s="93">
        <v>1.0</v>
      </c>
      <c r="G771" s="101" t="s">
        <v>594</v>
      </c>
      <c r="H771" s="97"/>
      <c r="I771" s="86"/>
      <c r="J771" s="130"/>
      <c r="K771" s="130"/>
    </row>
    <row r="772" ht="15.75" customHeight="1">
      <c r="A772" s="90">
        <v>45538.0</v>
      </c>
      <c r="B772" s="81" t="str">
        <f t="shared" si="1"/>
        <v>2024-09</v>
      </c>
      <c r="C772" s="127">
        <v>2.00000026E8</v>
      </c>
      <c r="D772" s="91" t="str">
        <f>IFERROR(VLOOKUP(C772,produto,2,FALSE), "Produto não encontrado")</f>
        <v>PLACA TERMOPLASTICA - ORFIT ECO NATUREL 45 x 60 cm 2.4 mm </v>
      </c>
      <c r="E772" s="92" t="s">
        <v>528</v>
      </c>
      <c r="F772" s="93">
        <v>1.0</v>
      </c>
      <c r="G772" s="101" t="s">
        <v>579</v>
      </c>
      <c r="H772" s="97"/>
      <c r="I772" s="86"/>
      <c r="J772" s="130"/>
      <c r="K772" s="130"/>
    </row>
    <row r="773" ht="15.75" customHeight="1">
      <c r="A773" s="90">
        <v>45538.0</v>
      </c>
      <c r="B773" s="81" t="str">
        <f t="shared" si="1"/>
        <v>2024-09</v>
      </c>
      <c r="C773" s="127">
        <v>2.00004223E8</v>
      </c>
      <c r="D773" s="91" t="str">
        <f>IFERROR(VLOOKUP(C773,produto,2,FALSE), "Produto não encontrado")</f>
        <v>INJETADO FECHO ENGATE 25MM</v>
      </c>
      <c r="E773" s="92" t="s">
        <v>528</v>
      </c>
      <c r="F773" s="93">
        <v>1.0</v>
      </c>
      <c r="G773" s="106" t="s">
        <v>571</v>
      </c>
      <c r="H773" s="97"/>
      <c r="I773" s="86"/>
      <c r="J773" s="130"/>
      <c r="K773" s="130"/>
    </row>
    <row r="774" ht="15.75" customHeight="1">
      <c r="A774" s="90">
        <v>45538.0</v>
      </c>
      <c r="B774" s="81" t="str">
        <f t="shared" si="1"/>
        <v>2024-09</v>
      </c>
      <c r="C774" s="127">
        <v>2.00004226E8</v>
      </c>
      <c r="D774" s="91" t="str">
        <f>IFERROR(VLOOKUP(C774,produto,2,FALSE), "Produto não encontrado")</f>
        <v>INJETADO FECHO ENGATE 50MM</v>
      </c>
      <c r="E774" s="92" t="s">
        <v>528</v>
      </c>
      <c r="F774" s="93">
        <v>1.0</v>
      </c>
      <c r="G774" s="106" t="s">
        <v>571</v>
      </c>
      <c r="H774" s="97"/>
      <c r="I774" s="86"/>
      <c r="J774" s="130"/>
      <c r="K774" s="130"/>
    </row>
    <row r="775" ht="15.75" customHeight="1">
      <c r="A775" s="90">
        <v>45538.0</v>
      </c>
      <c r="B775" s="81" t="str">
        <f t="shared" si="1"/>
        <v>2024-09</v>
      </c>
      <c r="C775" s="127">
        <v>2.00004237E8</v>
      </c>
      <c r="D775" s="91" t="str">
        <f>IFERROR(VLOOKUP(C775,produto,2,FALSE), "Produto não encontrado")</f>
        <v>INJETADO FECHO REGULADOR  25MM</v>
      </c>
      <c r="E775" s="92" t="s">
        <v>528</v>
      </c>
      <c r="F775" s="93">
        <v>1.0</v>
      </c>
      <c r="G775" s="106" t="s">
        <v>571</v>
      </c>
      <c r="H775" s="97"/>
      <c r="I775" s="86"/>
      <c r="J775" s="130"/>
      <c r="K775" s="130"/>
    </row>
    <row r="776" ht="15.75" customHeight="1">
      <c r="A776" s="90">
        <v>45538.0</v>
      </c>
      <c r="B776" s="81" t="str">
        <f t="shared" si="1"/>
        <v>2024-09</v>
      </c>
      <c r="C776" s="127">
        <v>2.0000424E8</v>
      </c>
      <c r="D776" s="91" t="str">
        <f>IFERROR(VLOOKUP(C776,produto,2,FALSE), "Produto não encontrado")</f>
        <v>INJETADO FECHO REGULADOR 50MM</v>
      </c>
      <c r="E776" s="92" t="s">
        <v>528</v>
      </c>
      <c r="F776" s="93">
        <v>1.0</v>
      </c>
      <c r="G776" s="106" t="s">
        <v>571</v>
      </c>
      <c r="H776" s="97"/>
      <c r="I776" s="86"/>
      <c r="J776" s="130"/>
      <c r="K776" s="130"/>
    </row>
    <row r="777" ht="15.75" customHeight="1">
      <c r="A777" s="90">
        <v>45538.0</v>
      </c>
      <c r="B777" s="81" t="str">
        <f t="shared" si="1"/>
        <v>2024-09</v>
      </c>
      <c r="C777" s="107">
        <v>2.00077416E8</v>
      </c>
      <c r="D777" s="91" t="str">
        <f>IFERROR(VLOOKUP(C777,produto,2,FALSE), "Produto não encontrado")</f>
        <v>COLA SPRAY PERMANENTE DE 500ML/330G</v>
      </c>
      <c r="E777" s="92" t="s">
        <v>528</v>
      </c>
      <c r="F777" s="93">
        <v>1.0</v>
      </c>
      <c r="G777" s="106" t="s">
        <v>568</v>
      </c>
      <c r="H777" s="97"/>
      <c r="I777" s="86"/>
      <c r="J777" s="130"/>
      <c r="K777" s="130"/>
    </row>
    <row r="778" ht="15.75" customHeight="1">
      <c r="A778" s="90">
        <v>45538.0</v>
      </c>
      <c r="B778" s="81" t="str">
        <f t="shared" si="1"/>
        <v>2024-09</v>
      </c>
      <c r="C778" s="107">
        <v>2.0008597E8</v>
      </c>
      <c r="D778" s="91" t="str">
        <f>IFERROR(VLOOKUP(C778,produto,2,FALSE), "Produto não encontrado")</f>
        <v>COLA DE CONTATO MULTIUSO DE 2,8KG</v>
      </c>
      <c r="E778" s="92" t="s">
        <v>528</v>
      </c>
      <c r="F778" s="93">
        <v>1.0</v>
      </c>
      <c r="G778" s="106" t="s">
        <v>568</v>
      </c>
      <c r="H778" s="97"/>
      <c r="I778" s="86"/>
      <c r="J778" s="130"/>
      <c r="K778" s="130"/>
    </row>
    <row r="779" ht="15.75" customHeight="1">
      <c r="A779" s="90">
        <v>45525.0</v>
      </c>
      <c r="B779" s="81" t="str">
        <f t="shared" si="1"/>
        <v>2024-08</v>
      </c>
      <c r="C779" s="107">
        <v>2.00083825E8</v>
      </c>
      <c r="D779" s="125" t="str">
        <f>IFERROR(VLOOKUP(C779,produto,2,FALSE), "Produto não encontrado")</f>
        <v>ESPUMA LAMINADA D-33 SELADA 5000X1900X5.00CM</v>
      </c>
      <c r="E779" s="92" t="s">
        <v>526</v>
      </c>
      <c r="F779" s="93">
        <v>15.0</v>
      </c>
      <c r="G779" s="101"/>
      <c r="H779" s="97"/>
      <c r="I779" s="86"/>
      <c r="J779" s="130"/>
      <c r="K779" s="130"/>
    </row>
    <row r="780" ht="15.75" customHeight="1">
      <c r="A780" s="90">
        <v>45525.0</v>
      </c>
      <c r="B780" s="81" t="str">
        <f t="shared" si="1"/>
        <v>2024-08</v>
      </c>
      <c r="C780" s="107">
        <v>2.00083824E8</v>
      </c>
      <c r="D780" s="125" t="str">
        <f>IFERROR(VLOOKUP(C780,produto,2,FALSE), "Produto não encontrado")</f>
        <v>ESPUMA LAMINADA D-33 SELADA 5000X1900X3.00CM</v>
      </c>
      <c r="E780" s="92" t="s">
        <v>526</v>
      </c>
      <c r="F780" s="93">
        <v>20.0</v>
      </c>
      <c r="G780" s="101"/>
      <c r="H780" s="97"/>
      <c r="I780" s="86"/>
      <c r="J780" s="130"/>
      <c r="K780" s="130"/>
    </row>
    <row r="781" ht="15.75" customHeight="1">
      <c r="A781" s="90">
        <v>45525.0</v>
      </c>
      <c r="B781" s="81" t="str">
        <f t="shared" si="1"/>
        <v>2024-08</v>
      </c>
      <c r="C781" s="107">
        <v>2.00083812E8</v>
      </c>
      <c r="D781" s="125" t="str">
        <f>IFERROR(VLOOKUP(C781,produto,2,FALSE), "Produto não encontrado")</f>
        <v>ESPUMA LAMINADA D-45 SELADA 5000X1900X05CM</v>
      </c>
      <c r="E781" s="92" t="s">
        <v>526</v>
      </c>
      <c r="F781" s="93">
        <v>10.0</v>
      </c>
      <c r="G781" s="101"/>
      <c r="H781" s="97"/>
      <c r="I781" s="86"/>
      <c r="J781" s="130"/>
      <c r="K781" s="130"/>
    </row>
    <row r="782" ht="15.75" customHeight="1">
      <c r="A782" s="90">
        <v>45525.0</v>
      </c>
      <c r="B782" s="81" t="str">
        <f t="shared" si="1"/>
        <v>2024-08</v>
      </c>
      <c r="C782" s="107">
        <v>2.00083821E8</v>
      </c>
      <c r="D782" s="125" t="str">
        <f>IFERROR(VLOOKUP(C782,produto,2,FALSE), "Produto não encontrado")</f>
        <v>ESPUMA LAMINADA D-33 SELADA 1900X5000X01CM</v>
      </c>
      <c r="E782" s="92" t="s">
        <v>526</v>
      </c>
      <c r="F782" s="93">
        <v>20.0</v>
      </c>
      <c r="G782" s="101"/>
      <c r="H782" s="97"/>
      <c r="I782" s="86"/>
      <c r="J782" s="130"/>
      <c r="K782" s="130"/>
    </row>
    <row r="783" ht="15.75" customHeight="1">
      <c r="A783" s="90">
        <v>45517.0</v>
      </c>
      <c r="B783" s="81" t="str">
        <f t="shared" si="1"/>
        <v>2024-08</v>
      </c>
      <c r="C783" s="124" t="s">
        <v>494</v>
      </c>
      <c r="D783" s="125" t="str">
        <f>IFERROR(VLOOKUP(C783,produto,2,FALSE), "Produto não encontrado")</f>
        <v>Tesoura Alfaiate 4598-12 Onyx 12" Preta Mundial</v>
      </c>
      <c r="E783" s="92" t="s">
        <v>526</v>
      </c>
      <c r="F783" s="93">
        <v>3.0</v>
      </c>
      <c r="G783" s="101" t="s">
        <v>11</v>
      </c>
      <c r="H783" s="97"/>
      <c r="I783" s="86"/>
      <c r="J783" s="130"/>
      <c r="K783" s="130"/>
    </row>
    <row r="784" ht="15.75" customHeight="1">
      <c r="A784" s="90">
        <v>45517.0</v>
      </c>
      <c r="B784" s="81" t="str">
        <f t="shared" si="1"/>
        <v>2024-08</v>
      </c>
      <c r="C784" s="124" t="s">
        <v>509</v>
      </c>
      <c r="D784" s="125" t="str">
        <f>IFERROR(VLOOKUP(C784,produto,2,FALSE), "Produto não encontrado")</f>
        <v>Tesoura Tecelão 601N-4.1/2 Ponto Vermelho 4 1/2" Preta Mundial</v>
      </c>
      <c r="E784" s="92" t="s">
        <v>526</v>
      </c>
      <c r="F784" s="93">
        <v>3.0</v>
      </c>
      <c r="G784" s="101" t="s">
        <v>11</v>
      </c>
      <c r="H784" s="97"/>
      <c r="I784" s="86"/>
      <c r="J784" s="130"/>
      <c r="K784" s="130"/>
    </row>
    <row r="785" ht="15.75" customHeight="1">
      <c r="A785" s="90">
        <v>45517.0</v>
      </c>
      <c r="B785" s="81" t="str">
        <f t="shared" si="1"/>
        <v>2024-08</v>
      </c>
      <c r="C785" s="103">
        <v>2.00000028E8</v>
      </c>
      <c r="D785" s="125" t="str">
        <f>IFERROR(VLOOKUP(C785,produto,2,FALSE), "Produto não encontrado")</f>
        <v>Tesoura Tecelão Industrial Reta 1801 Practical 4" Mundial</v>
      </c>
      <c r="E785" s="92" t="s">
        <v>526</v>
      </c>
      <c r="F785" s="93">
        <v>3.0</v>
      </c>
      <c r="G785" s="101" t="s">
        <v>11</v>
      </c>
      <c r="H785" s="97"/>
      <c r="I785" s="86"/>
      <c r="J785" s="130"/>
      <c r="K785" s="130"/>
    </row>
    <row r="786" ht="15.75" customHeight="1">
      <c r="A786" s="90">
        <v>45517.0</v>
      </c>
      <c r="B786" s="81" t="str">
        <f t="shared" si="1"/>
        <v>2024-08</v>
      </c>
      <c r="C786" s="124" t="s">
        <v>501</v>
      </c>
      <c r="D786" s="125" t="str">
        <f>IFERROR(VLOOKUP(C786,produto,2,FALSE), "Produto não encontrado")</f>
        <v>Tesoura Lister 20cm - Cooperflex Prime</v>
      </c>
      <c r="E786" s="92" t="s">
        <v>526</v>
      </c>
      <c r="F786" s="93">
        <v>3.0</v>
      </c>
      <c r="G786" s="101" t="s">
        <v>11</v>
      </c>
      <c r="H786" s="97"/>
      <c r="I786" s="86"/>
      <c r="J786" s="130"/>
      <c r="K786" s="130"/>
    </row>
    <row r="787" ht="15.75" customHeight="1">
      <c r="A787" s="90">
        <v>45517.0</v>
      </c>
      <c r="B787" s="81" t="str">
        <f t="shared" si="1"/>
        <v>2024-08</v>
      </c>
      <c r="C787" s="124" t="s">
        <v>498</v>
      </c>
      <c r="D787" s="125" t="str">
        <f>IFERROR(VLOOKUP(C787,produto,2,FALSE), "Produto não encontrado")</f>
        <v>Tesoura de Costura Industrial Reforçada 1470-8 Practical 8" Cinza Mundial</v>
      </c>
      <c r="E787" s="92" t="s">
        <v>526</v>
      </c>
      <c r="F787" s="93">
        <v>3.0</v>
      </c>
      <c r="G787" s="101" t="s">
        <v>11</v>
      </c>
      <c r="H787" s="97"/>
      <c r="I787" s="86"/>
      <c r="J787" s="130"/>
      <c r="K787" s="130"/>
    </row>
    <row r="788" ht="15.75" customHeight="1">
      <c r="A788" s="90">
        <v>45517.0</v>
      </c>
      <c r="B788" s="81" t="str">
        <f t="shared" si="1"/>
        <v>2024-08</v>
      </c>
      <c r="C788" s="124" t="s">
        <v>505</v>
      </c>
      <c r="D788" s="125" t="str">
        <f>IFERROR(VLOOKUP(C788,produto,2,FALSE), "Produto não encontrado")</f>
        <v>Tesoura Multiuso 990-10 Cushion Pro 10" Azul Mundial</v>
      </c>
      <c r="E788" s="92" t="s">
        <v>526</v>
      </c>
      <c r="F788" s="93">
        <v>4.0</v>
      </c>
      <c r="G788" s="101" t="s">
        <v>11</v>
      </c>
      <c r="H788" s="97"/>
      <c r="I788" s="86"/>
      <c r="J788" s="130"/>
      <c r="K788" s="130"/>
    </row>
    <row r="789" ht="15.75" customHeight="1">
      <c r="A789" s="90">
        <v>45517.0</v>
      </c>
      <c r="B789" s="81" t="str">
        <f t="shared" si="1"/>
        <v>2024-08</v>
      </c>
      <c r="C789" s="108" t="s">
        <v>514</v>
      </c>
      <c r="D789" s="125" t="str">
        <f>IFERROR(VLOOKUP(C789,produto,2,FALSE), "Produto não encontrado")</f>
        <v>TESOURA USO GERAL 8,0</v>
      </c>
      <c r="E789" s="92" t="s">
        <v>526</v>
      </c>
      <c r="F789" s="93">
        <v>2.0</v>
      </c>
      <c r="G789" s="101" t="s">
        <v>11</v>
      </c>
      <c r="H789" s="97"/>
      <c r="I789" s="86"/>
      <c r="J789" s="130"/>
      <c r="K789" s="130"/>
    </row>
    <row r="790" ht="15.75" customHeight="1">
      <c r="A790" s="90">
        <v>45517.0</v>
      </c>
      <c r="B790" s="81" t="str">
        <f t="shared" si="1"/>
        <v>2024-08</v>
      </c>
      <c r="C790" s="124">
        <v>2.00037867E8</v>
      </c>
      <c r="D790" s="125" t="str">
        <f>IFERROR(VLOOKUP(C790,produto,2,FALSE), "Produto não encontrado")</f>
        <v>TESOURA MULTIUSO CABO PLASTICO LAMINA EM AÇO INOX 21CM</v>
      </c>
      <c r="E790" s="92" t="s">
        <v>526</v>
      </c>
      <c r="F790" s="93">
        <v>1.0</v>
      </c>
      <c r="G790" s="101" t="s">
        <v>11</v>
      </c>
      <c r="H790" s="97"/>
      <c r="I790" s="86"/>
      <c r="J790" s="130"/>
      <c r="K790" s="130"/>
    </row>
    <row r="791" ht="15.75" customHeight="1">
      <c r="A791" s="90">
        <v>45517.0</v>
      </c>
      <c r="B791" s="81" t="str">
        <f t="shared" si="1"/>
        <v>2024-08</v>
      </c>
      <c r="C791" s="108" t="s">
        <v>514</v>
      </c>
      <c r="D791" s="125" t="str">
        <f>IFERROR(VLOOKUP(C791,produto,2,FALSE), "Produto não encontrado")</f>
        <v>TESOURA USO GERAL 8,0</v>
      </c>
      <c r="E791" s="92" t="s">
        <v>528</v>
      </c>
      <c r="F791" s="93">
        <v>1.0</v>
      </c>
      <c r="G791" s="106" t="s">
        <v>571</v>
      </c>
      <c r="H791" s="97"/>
      <c r="I791" s="86"/>
      <c r="J791" s="130"/>
      <c r="K791" s="130"/>
    </row>
    <row r="792" ht="15.75" customHeight="1">
      <c r="A792" s="90">
        <v>45517.0</v>
      </c>
      <c r="B792" s="81" t="str">
        <f t="shared" si="1"/>
        <v>2024-08</v>
      </c>
      <c r="C792" s="124" t="s">
        <v>494</v>
      </c>
      <c r="D792" s="125" t="str">
        <f>IFERROR(VLOOKUP(C792,produto,2,FALSE), "Produto não encontrado")</f>
        <v>Tesoura Alfaiate 4598-12 Onyx 12" Preta Mundial</v>
      </c>
      <c r="E792" s="92" t="s">
        <v>528</v>
      </c>
      <c r="F792" s="93">
        <v>1.0</v>
      </c>
      <c r="G792" s="106" t="s">
        <v>571</v>
      </c>
      <c r="H792" s="97"/>
      <c r="I792" s="86"/>
      <c r="J792" s="130"/>
      <c r="K792" s="130"/>
    </row>
    <row r="793" ht="15.75" customHeight="1">
      <c r="A793" s="90">
        <v>45517.0</v>
      </c>
      <c r="B793" s="81" t="str">
        <f t="shared" si="1"/>
        <v>2024-08</v>
      </c>
      <c r="C793" s="124" t="s">
        <v>509</v>
      </c>
      <c r="D793" s="125" t="str">
        <f>IFERROR(VLOOKUP(C793,produto,2,FALSE), "Produto não encontrado")</f>
        <v>Tesoura Tecelão 601N-4.1/2 Ponto Vermelho 4 1/2" Preta Mundial</v>
      </c>
      <c r="E793" s="92" t="s">
        <v>528</v>
      </c>
      <c r="F793" s="93">
        <v>2.0</v>
      </c>
      <c r="G793" s="106" t="s">
        <v>571</v>
      </c>
      <c r="H793" s="97"/>
      <c r="I793" s="86"/>
      <c r="J793" s="130"/>
      <c r="K793" s="130"/>
    </row>
    <row r="794" ht="15.75" customHeight="1">
      <c r="A794" s="90">
        <v>45517.0</v>
      </c>
      <c r="B794" s="81" t="str">
        <f t="shared" si="1"/>
        <v>2024-08</v>
      </c>
      <c r="C794" s="103">
        <v>2.00000028E8</v>
      </c>
      <c r="D794" s="125" t="str">
        <f>IFERROR(VLOOKUP(C794,produto,2,FALSE), "Produto não encontrado")</f>
        <v>Tesoura Tecelão Industrial Reta 1801 Practical 4" Mundial</v>
      </c>
      <c r="E794" s="92" t="s">
        <v>528</v>
      </c>
      <c r="F794" s="93">
        <v>1.0</v>
      </c>
      <c r="G794" s="106" t="s">
        <v>571</v>
      </c>
      <c r="H794" s="97"/>
      <c r="I794" s="86"/>
      <c r="J794" s="130"/>
      <c r="K794" s="130"/>
    </row>
    <row r="795" ht="15.75" customHeight="1">
      <c r="A795" s="90">
        <v>45517.0</v>
      </c>
      <c r="B795" s="81" t="str">
        <f t="shared" si="1"/>
        <v>2024-08</v>
      </c>
      <c r="C795" s="124" t="s">
        <v>501</v>
      </c>
      <c r="D795" s="125" t="str">
        <f>IFERROR(VLOOKUP(C795,produto,2,FALSE), "Produto não encontrado")</f>
        <v>Tesoura Lister 20cm - Cooperflex Prime</v>
      </c>
      <c r="E795" s="92" t="s">
        <v>528</v>
      </c>
      <c r="F795" s="93">
        <v>1.0</v>
      </c>
      <c r="G795" s="106" t="s">
        <v>571</v>
      </c>
      <c r="H795" s="97"/>
      <c r="I795" s="86"/>
      <c r="J795" s="130"/>
      <c r="K795" s="130"/>
    </row>
    <row r="796" ht="15.75" customHeight="1">
      <c r="A796" s="90">
        <v>45517.0</v>
      </c>
      <c r="B796" s="81" t="str">
        <f t="shared" si="1"/>
        <v>2024-08</v>
      </c>
      <c r="C796" s="124" t="s">
        <v>505</v>
      </c>
      <c r="D796" s="125" t="str">
        <f>IFERROR(VLOOKUP(C796,produto,2,FALSE), "Produto não encontrado")</f>
        <v>Tesoura Multiuso 990-10 Cushion Pro 10" Azul Mundial</v>
      </c>
      <c r="E796" s="92" t="s">
        <v>528</v>
      </c>
      <c r="F796" s="93">
        <v>1.0</v>
      </c>
      <c r="G796" s="106" t="s">
        <v>571</v>
      </c>
      <c r="H796" s="97"/>
      <c r="I796" s="86"/>
      <c r="J796" s="130"/>
      <c r="K796" s="130"/>
    </row>
    <row r="797" ht="15.75" customHeight="1">
      <c r="A797" s="154"/>
      <c r="B797" s="154"/>
      <c r="C797" s="155"/>
      <c r="D797" s="156"/>
      <c r="E797" s="157"/>
      <c r="F797" s="158"/>
      <c r="G797" s="156"/>
      <c r="H797" s="156"/>
      <c r="I797" s="130"/>
      <c r="J797" s="130"/>
      <c r="K797" s="130"/>
    </row>
    <row r="798" ht="15.75" customHeight="1">
      <c r="A798" s="154"/>
      <c r="B798" s="154"/>
      <c r="C798" s="155"/>
      <c r="D798" s="156"/>
      <c r="E798" s="157"/>
      <c r="F798" s="158"/>
      <c r="G798" s="156"/>
      <c r="H798" s="156"/>
      <c r="I798" s="130"/>
      <c r="J798" s="130"/>
      <c r="K798" s="130"/>
    </row>
    <row r="799" ht="15.75" customHeight="1">
      <c r="A799" s="154"/>
      <c r="B799" s="154"/>
      <c r="C799" s="155"/>
      <c r="D799" s="156"/>
      <c r="E799" s="157"/>
      <c r="F799" s="158"/>
      <c r="G799" s="156"/>
      <c r="H799" s="156"/>
      <c r="I799" s="130"/>
      <c r="J799" s="130"/>
      <c r="K799" s="130"/>
    </row>
    <row r="800" ht="15.75" customHeight="1">
      <c r="A800" s="159"/>
      <c r="B800" s="159"/>
      <c r="C800" s="155"/>
      <c r="D800" s="156"/>
      <c r="E800" s="157"/>
      <c r="F800" s="158"/>
      <c r="G800" s="156"/>
      <c r="H800" s="156"/>
      <c r="I800" s="130"/>
      <c r="J800" s="130"/>
      <c r="K800" s="130"/>
    </row>
    <row r="801" ht="15.75" customHeight="1">
      <c r="A801" s="154"/>
      <c r="B801" s="154"/>
      <c r="C801" s="155"/>
      <c r="D801" s="156"/>
      <c r="E801" s="157"/>
      <c r="F801" s="158"/>
      <c r="G801" s="156"/>
      <c r="H801" s="156"/>
      <c r="I801" s="130"/>
      <c r="J801" s="130"/>
      <c r="K801" s="130"/>
    </row>
    <row r="802" ht="15.75" customHeight="1">
      <c r="A802" s="154"/>
      <c r="B802" s="154"/>
      <c r="C802" s="155"/>
      <c r="D802" s="156"/>
      <c r="E802" s="157"/>
      <c r="F802" s="158"/>
      <c r="G802" s="156"/>
      <c r="H802" s="156"/>
      <c r="I802" s="130"/>
      <c r="J802" s="130"/>
      <c r="K802" s="130"/>
    </row>
    <row r="803" ht="15.75" customHeight="1">
      <c r="A803" s="154"/>
      <c r="B803" s="154"/>
      <c r="C803" s="155"/>
      <c r="D803" s="156"/>
      <c r="E803" s="157"/>
      <c r="F803" s="158"/>
      <c r="G803" s="156"/>
      <c r="H803" s="156"/>
      <c r="I803" s="130"/>
      <c r="J803" s="130"/>
      <c r="K803" s="130"/>
    </row>
    <row r="804" ht="15.75" customHeight="1">
      <c r="A804" s="154"/>
      <c r="B804" s="154"/>
      <c r="C804" s="155"/>
      <c r="D804" s="156"/>
      <c r="E804" s="157"/>
      <c r="F804" s="158"/>
      <c r="G804" s="156"/>
      <c r="H804" s="156"/>
      <c r="I804" s="130"/>
      <c r="J804" s="130"/>
      <c r="K804" s="130"/>
    </row>
    <row r="805" ht="15.75" customHeight="1">
      <c r="A805" s="154"/>
      <c r="B805" s="154"/>
      <c r="C805" s="155"/>
      <c r="D805" s="156"/>
      <c r="E805" s="157"/>
      <c r="F805" s="158"/>
      <c r="G805" s="156"/>
      <c r="H805" s="156"/>
      <c r="I805" s="130"/>
      <c r="J805" s="130"/>
      <c r="K805" s="130"/>
    </row>
    <row r="806" ht="15.75" customHeight="1">
      <c r="A806" s="154"/>
      <c r="B806" s="154"/>
      <c r="C806" s="155"/>
      <c r="D806" s="156"/>
      <c r="E806" s="157"/>
      <c r="F806" s="158"/>
      <c r="G806" s="156"/>
      <c r="H806" s="156"/>
      <c r="I806" s="130"/>
      <c r="J806" s="130"/>
      <c r="K806" s="130"/>
    </row>
    <row r="807" ht="15.75" customHeight="1">
      <c r="A807" s="154"/>
      <c r="B807" s="154"/>
      <c r="C807" s="155"/>
      <c r="D807" s="156"/>
      <c r="E807" s="157"/>
      <c r="F807" s="158"/>
      <c r="G807" s="156"/>
      <c r="H807" s="156"/>
      <c r="I807" s="130"/>
      <c r="J807" s="130"/>
      <c r="K807" s="130"/>
    </row>
    <row r="808" ht="15.75" customHeight="1">
      <c r="A808" s="154"/>
      <c r="B808" s="154"/>
      <c r="C808" s="155"/>
      <c r="D808" s="156"/>
      <c r="E808" s="157"/>
      <c r="F808" s="158"/>
      <c r="G808" s="156"/>
      <c r="H808" s="156"/>
      <c r="I808" s="130"/>
      <c r="J808" s="130"/>
      <c r="K808" s="130"/>
    </row>
    <row r="809" ht="15.75" customHeight="1">
      <c r="A809" s="154"/>
      <c r="B809" s="154"/>
      <c r="C809" s="155"/>
      <c r="D809" s="156"/>
      <c r="E809" s="157"/>
      <c r="F809" s="158"/>
      <c r="G809" s="156"/>
      <c r="H809" s="156"/>
      <c r="I809" s="130"/>
      <c r="J809" s="130"/>
      <c r="K809" s="130"/>
    </row>
    <row r="810" ht="15.75" customHeight="1">
      <c r="A810" s="154"/>
      <c r="B810" s="154"/>
      <c r="C810" s="155"/>
      <c r="D810" s="156"/>
      <c r="E810" s="157"/>
      <c r="F810" s="158"/>
      <c r="G810" s="156"/>
      <c r="H810" s="156"/>
      <c r="I810" s="130"/>
      <c r="J810" s="130"/>
      <c r="K810" s="130"/>
    </row>
    <row r="811" ht="15.75" customHeight="1">
      <c r="A811" s="154"/>
      <c r="B811" s="154"/>
      <c r="C811" s="155"/>
      <c r="D811" s="156"/>
      <c r="E811" s="157"/>
      <c r="F811" s="158"/>
      <c r="G811" s="156"/>
      <c r="H811" s="156"/>
      <c r="I811" s="130"/>
      <c r="J811" s="130"/>
      <c r="K811" s="130"/>
    </row>
    <row r="812" ht="15.75" customHeight="1">
      <c r="A812" s="154"/>
      <c r="B812" s="154"/>
      <c r="C812" s="155"/>
      <c r="D812" s="156"/>
      <c r="E812" s="157"/>
      <c r="F812" s="158"/>
      <c r="G812" s="156"/>
      <c r="H812" s="156"/>
      <c r="I812" s="130"/>
      <c r="J812" s="130"/>
      <c r="K812" s="130"/>
    </row>
    <row r="813" ht="15.75" customHeight="1">
      <c r="A813" s="154"/>
      <c r="B813" s="154"/>
      <c r="C813" s="155"/>
      <c r="D813" s="156"/>
      <c r="E813" s="157"/>
      <c r="F813" s="158"/>
      <c r="G813" s="156"/>
      <c r="H813" s="156"/>
      <c r="I813" s="130"/>
      <c r="J813" s="130"/>
      <c r="K813" s="130"/>
    </row>
    <row r="814" ht="15.75" customHeight="1">
      <c r="A814" s="154"/>
      <c r="B814" s="154"/>
      <c r="C814" s="155"/>
      <c r="D814" s="156"/>
      <c r="E814" s="157"/>
      <c r="F814" s="158"/>
      <c r="G814" s="156"/>
      <c r="H814" s="156"/>
      <c r="I814" s="130"/>
      <c r="J814" s="130"/>
      <c r="K814" s="130"/>
    </row>
    <row r="815" ht="15.75" customHeight="1">
      <c r="A815" s="154"/>
      <c r="B815" s="154"/>
      <c r="C815" s="155"/>
      <c r="D815" s="156"/>
      <c r="E815" s="157"/>
      <c r="F815" s="158"/>
      <c r="G815" s="156"/>
      <c r="H815" s="156"/>
      <c r="I815" s="130"/>
      <c r="J815" s="130"/>
      <c r="K815" s="130"/>
    </row>
    <row r="816" ht="15.75" customHeight="1">
      <c r="A816" s="154"/>
      <c r="B816" s="154"/>
      <c r="C816" s="155"/>
      <c r="D816" s="156"/>
      <c r="E816" s="157"/>
      <c r="F816" s="158"/>
      <c r="G816" s="156"/>
      <c r="H816" s="156"/>
      <c r="I816" s="130"/>
      <c r="J816" s="130"/>
      <c r="K816" s="130"/>
    </row>
    <row r="817" ht="15.75" customHeight="1">
      <c r="A817" s="154"/>
      <c r="B817" s="154"/>
      <c r="C817" s="155"/>
      <c r="D817" s="156"/>
      <c r="E817" s="157"/>
      <c r="F817" s="158"/>
      <c r="G817" s="156"/>
      <c r="H817" s="156"/>
      <c r="I817" s="130"/>
      <c r="J817" s="130"/>
      <c r="K817" s="130"/>
    </row>
    <row r="818" ht="15.75" customHeight="1">
      <c r="A818" s="154"/>
      <c r="B818" s="154"/>
      <c r="C818" s="155"/>
      <c r="D818" s="156"/>
      <c r="E818" s="157"/>
      <c r="F818" s="158"/>
      <c r="G818" s="156"/>
      <c r="H818" s="156"/>
      <c r="I818" s="130"/>
      <c r="J818" s="130"/>
      <c r="K818" s="130"/>
    </row>
    <row r="819" ht="15.75" customHeight="1">
      <c r="A819" s="154"/>
      <c r="B819" s="154"/>
      <c r="C819" s="155"/>
      <c r="D819" s="156"/>
      <c r="E819" s="157"/>
      <c r="F819" s="158"/>
      <c r="G819" s="156"/>
      <c r="H819" s="156"/>
      <c r="I819" s="130"/>
      <c r="J819" s="130"/>
      <c r="K819" s="130"/>
    </row>
    <row r="820" ht="15.75" customHeight="1">
      <c r="A820" s="154"/>
      <c r="B820" s="154"/>
      <c r="C820" s="155"/>
      <c r="D820" s="156"/>
      <c r="E820" s="157"/>
      <c r="F820" s="158"/>
      <c r="G820" s="156"/>
      <c r="H820" s="156"/>
      <c r="I820" s="130"/>
      <c r="J820" s="130"/>
      <c r="K820" s="130"/>
    </row>
    <row r="821" ht="15.75" customHeight="1">
      <c r="A821" s="154"/>
      <c r="B821" s="154"/>
      <c r="C821" s="155"/>
      <c r="D821" s="156"/>
      <c r="E821" s="157"/>
      <c r="F821" s="158"/>
      <c r="G821" s="156"/>
      <c r="H821" s="156"/>
      <c r="I821" s="130"/>
      <c r="J821" s="130"/>
      <c r="K821" s="130"/>
    </row>
    <row r="822" ht="15.75" customHeight="1">
      <c r="A822" s="154"/>
      <c r="B822" s="154"/>
      <c r="C822" s="155"/>
      <c r="D822" s="156"/>
      <c r="E822" s="157"/>
      <c r="F822" s="158"/>
      <c r="G822" s="156"/>
      <c r="H822" s="156"/>
      <c r="I822" s="130"/>
      <c r="J822" s="130"/>
      <c r="K822" s="130"/>
    </row>
    <row r="823" ht="15.75" customHeight="1">
      <c r="A823" s="154"/>
      <c r="B823" s="154"/>
      <c r="C823" s="155"/>
      <c r="D823" s="156"/>
      <c r="E823" s="157"/>
      <c r="F823" s="158"/>
      <c r="G823" s="156"/>
      <c r="H823" s="156"/>
      <c r="I823" s="130"/>
      <c r="J823" s="130"/>
      <c r="K823" s="130"/>
    </row>
    <row r="824" ht="15.75" customHeight="1">
      <c r="A824" s="154"/>
      <c r="B824" s="154"/>
      <c r="C824" s="155"/>
      <c r="D824" s="156"/>
      <c r="E824" s="157"/>
      <c r="F824" s="158"/>
      <c r="G824" s="156"/>
      <c r="H824" s="156"/>
      <c r="I824" s="130"/>
      <c r="J824" s="130"/>
      <c r="K824" s="130"/>
    </row>
    <row r="825" ht="15.75" customHeight="1">
      <c r="A825" s="154"/>
      <c r="B825" s="154"/>
      <c r="C825" s="155"/>
      <c r="D825" s="156"/>
      <c r="E825" s="157"/>
      <c r="F825" s="158"/>
      <c r="G825" s="156"/>
      <c r="H825" s="156"/>
      <c r="I825" s="130"/>
      <c r="J825" s="130"/>
      <c r="K825" s="130"/>
    </row>
    <row r="826" ht="15.75" customHeight="1">
      <c r="A826" s="154"/>
      <c r="B826" s="154"/>
      <c r="C826" s="155"/>
      <c r="D826" s="156"/>
      <c r="E826" s="157"/>
      <c r="F826" s="158"/>
      <c r="G826" s="156"/>
      <c r="H826" s="156"/>
      <c r="I826" s="130"/>
      <c r="J826" s="130"/>
      <c r="K826" s="130"/>
    </row>
    <row r="827" ht="15.75" customHeight="1">
      <c r="A827" s="154"/>
      <c r="B827" s="154"/>
      <c r="C827" s="155"/>
      <c r="D827" s="156"/>
      <c r="E827" s="157"/>
      <c r="F827" s="158"/>
      <c r="G827" s="156"/>
      <c r="H827" s="156"/>
      <c r="I827" s="130"/>
      <c r="J827" s="130"/>
      <c r="K827" s="130"/>
    </row>
    <row r="828" ht="15.75" customHeight="1">
      <c r="A828" s="154"/>
      <c r="B828" s="154"/>
      <c r="C828" s="155"/>
      <c r="D828" s="156"/>
      <c r="E828" s="157"/>
      <c r="F828" s="158"/>
      <c r="G828" s="156"/>
      <c r="H828" s="156"/>
      <c r="I828" s="130"/>
      <c r="J828" s="130"/>
      <c r="K828" s="130"/>
    </row>
    <row r="829" ht="15.75" customHeight="1">
      <c r="A829" s="154"/>
      <c r="B829" s="154"/>
      <c r="C829" s="155"/>
      <c r="D829" s="156"/>
      <c r="E829" s="157"/>
      <c r="F829" s="158"/>
      <c r="G829" s="156"/>
      <c r="H829" s="156"/>
      <c r="I829" s="130"/>
      <c r="J829" s="130"/>
      <c r="K829" s="130"/>
    </row>
    <row r="830" ht="15.75" customHeight="1">
      <c r="A830" s="154"/>
      <c r="B830" s="154"/>
      <c r="C830" s="155"/>
      <c r="D830" s="156"/>
      <c r="E830" s="157"/>
      <c r="F830" s="158"/>
      <c r="G830" s="156"/>
      <c r="H830" s="156"/>
      <c r="I830" s="130"/>
      <c r="J830" s="130"/>
      <c r="K830" s="130"/>
    </row>
    <row r="831" ht="15.75" customHeight="1">
      <c r="A831" s="154"/>
      <c r="B831" s="154"/>
      <c r="C831" s="155"/>
      <c r="D831" s="156"/>
      <c r="E831" s="157"/>
      <c r="F831" s="158"/>
      <c r="G831" s="156"/>
      <c r="H831" s="156"/>
      <c r="I831" s="130"/>
      <c r="J831" s="130"/>
      <c r="K831" s="130"/>
    </row>
    <row r="832" ht="15.75" customHeight="1">
      <c r="A832" s="154"/>
      <c r="B832" s="154"/>
      <c r="C832" s="155"/>
      <c r="D832" s="156"/>
      <c r="E832" s="157"/>
      <c r="F832" s="158"/>
      <c r="G832" s="156"/>
      <c r="H832" s="156"/>
      <c r="I832" s="130"/>
      <c r="J832" s="130"/>
      <c r="K832" s="130"/>
    </row>
    <row r="833" ht="15.75" customHeight="1">
      <c r="A833" s="154"/>
      <c r="B833" s="154"/>
      <c r="C833" s="155"/>
      <c r="D833" s="156"/>
      <c r="E833" s="157"/>
      <c r="F833" s="158"/>
      <c r="G833" s="156"/>
      <c r="H833" s="156"/>
      <c r="I833" s="130"/>
      <c r="J833" s="130"/>
      <c r="K833" s="130"/>
    </row>
    <row r="834" ht="15.75" customHeight="1">
      <c r="A834" s="154"/>
      <c r="B834" s="154"/>
      <c r="C834" s="155"/>
      <c r="D834" s="156"/>
      <c r="E834" s="157"/>
      <c r="F834" s="158"/>
      <c r="G834" s="156"/>
      <c r="H834" s="156"/>
      <c r="I834" s="130"/>
      <c r="J834" s="130"/>
      <c r="K834" s="130"/>
    </row>
    <row r="835" ht="15.75" customHeight="1">
      <c r="A835" s="154"/>
      <c r="B835" s="154"/>
      <c r="C835" s="155"/>
      <c r="D835" s="156"/>
      <c r="E835" s="157"/>
      <c r="F835" s="158"/>
      <c r="G835" s="156"/>
      <c r="H835" s="156"/>
      <c r="I835" s="130"/>
      <c r="J835" s="130"/>
      <c r="K835" s="130"/>
    </row>
    <row r="836" ht="15.75" customHeight="1">
      <c r="A836" s="154"/>
      <c r="B836" s="154"/>
      <c r="C836" s="155"/>
      <c r="D836" s="156"/>
      <c r="E836" s="157"/>
      <c r="F836" s="158"/>
      <c r="G836" s="156"/>
      <c r="H836" s="156"/>
      <c r="I836" s="130"/>
      <c r="J836" s="130"/>
      <c r="K836" s="130"/>
    </row>
    <row r="837" ht="15.75" customHeight="1">
      <c r="A837" s="154"/>
      <c r="B837" s="154"/>
      <c r="C837" s="155"/>
      <c r="D837" s="156"/>
      <c r="E837" s="157"/>
      <c r="F837" s="158"/>
      <c r="G837" s="156"/>
      <c r="H837" s="156"/>
      <c r="I837" s="130"/>
      <c r="J837" s="130"/>
      <c r="K837" s="130"/>
    </row>
    <row r="838" ht="15.75" customHeight="1">
      <c r="A838" s="154"/>
      <c r="B838" s="154"/>
      <c r="C838" s="155"/>
      <c r="D838" s="156"/>
      <c r="E838" s="157"/>
      <c r="F838" s="158"/>
      <c r="G838" s="156"/>
      <c r="H838" s="156"/>
      <c r="I838" s="130"/>
      <c r="J838" s="130"/>
      <c r="K838" s="130"/>
    </row>
    <row r="839" ht="15.75" customHeight="1">
      <c r="A839" s="154"/>
      <c r="B839" s="154"/>
      <c r="C839" s="155"/>
      <c r="D839" s="156"/>
      <c r="E839" s="157"/>
      <c r="F839" s="158"/>
      <c r="G839" s="156"/>
      <c r="H839" s="156"/>
      <c r="I839" s="130"/>
      <c r="J839" s="130"/>
      <c r="K839" s="130"/>
    </row>
    <row r="840" ht="15.75" customHeight="1">
      <c r="A840" s="154"/>
      <c r="B840" s="154"/>
      <c r="C840" s="155"/>
      <c r="D840" s="156"/>
      <c r="E840" s="157"/>
      <c r="F840" s="158"/>
      <c r="G840" s="156"/>
      <c r="H840" s="156"/>
      <c r="I840" s="130"/>
      <c r="J840" s="130"/>
      <c r="K840" s="130"/>
    </row>
    <row r="841" ht="15.75" customHeight="1">
      <c r="A841" s="154"/>
      <c r="B841" s="154"/>
      <c r="C841" s="155"/>
      <c r="D841" s="156"/>
      <c r="E841" s="157"/>
      <c r="F841" s="158"/>
      <c r="G841" s="156"/>
      <c r="H841" s="156"/>
      <c r="I841" s="130"/>
      <c r="J841" s="130"/>
      <c r="K841" s="130"/>
    </row>
    <row r="842" ht="15.75" customHeight="1">
      <c r="A842" s="154"/>
      <c r="B842" s="154"/>
      <c r="C842" s="155"/>
      <c r="D842" s="156"/>
      <c r="E842" s="157"/>
      <c r="F842" s="158"/>
      <c r="G842" s="156"/>
      <c r="H842" s="156"/>
      <c r="I842" s="130"/>
      <c r="J842" s="130"/>
      <c r="K842" s="130"/>
    </row>
    <row r="843" ht="15.75" customHeight="1">
      <c r="A843" s="154"/>
      <c r="B843" s="154"/>
      <c r="C843" s="155"/>
      <c r="D843" s="156"/>
      <c r="E843" s="157"/>
      <c r="F843" s="158"/>
      <c r="G843" s="156"/>
      <c r="H843" s="156"/>
      <c r="I843" s="130"/>
      <c r="J843" s="130"/>
      <c r="K843" s="130"/>
    </row>
    <row r="844" ht="15.75" customHeight="1">
      <c r="A844" s="154"/>
      <c r="B844" s="154"/>
      <c r="C844" s="155"/>
      <c r="D844" s="156"/>
      <c r="E844" s="157"/>
      <c r="F844" s="158"/>
      <c r="G844" s="156"/>
      <c r="H844" s="156"/>
      <c r="I844" s="130"/>
      <c r="J844" s="130"/>
      <c r="K844" s="130"/>
    </row>
    <row r="845" ht="15.75" customHeight="1">
      <c r="A845" s="154"/>
      <c r="B845" s="154"/>
      <c r="C845" s="155"/>
      <c r="D845" s="156"/>
      <c r="E845" s="157"/>
      <c r="F845" s="158"/>
      <c r="G845" s="156"/>
      <c r="H845" s="156"/>
      <c r="I845" s="130"/>
      <c r="J845" s="130"/>
      <c r="K845" s="130"/>
    </row>
    <row r="846" ht="15.75" customHeight="1">
      <c r="A846" s="154"/>
      <c r="B846" s="154"/>
      <c r="C846" s="155"/>
      <c r="D846" s="156"/>
      <c r="E846" s="157"/>
      <c r="F846" s="158"/>
      <c r="G846" s="156"/>
      <c r="H846" s="156"/>
      <c r="I846" s="130"/>
      <c r="J846" s="130"/>
      <c r="K846" s="130"/>
    </row>
    <row r="847" ht="15.75" customHeight="1">
      <c r="A847" s="154"/>
      <c r="B847" s="154"/>
      <c r="C847" s="155"/>
      <c r="D847" s="156"/>
      <c r="E847" s="157"/>
      <c r="F847" s="158"/>
      <c r="G847" s="156"/>
      <c r="H847" s="156"/>
      <c r="I847" s="130"/>
      <c r="J847" s="130"/>
      <c r="K847" s="130"/>
    </row>
    <row r="848" ht="15.75" customHeight="1">
      <c r="A848" s="154"/>
      <c r="B848" s="154"/>
      <c r="C848" s="155"/>
      <c r="D848" s="156"/>
      <c r="E848" s="157"/>
      <c r="F848" s="158"/>
      <c r="G848" s="156"/>
      <c r="H848" s="156"/>
      <c r="I848" s="130"/>
      <c r="J848" s="130"/>
      <c r="K848" s="130"/>
    </row>
    <row r="849" ht="15.75" customHeight="1">
      <c r="A849" s="154"/>
      <c r="B849" s="154"/>
      <c r="C849" s="155"/>
      <c r="D849" s="156"/>
      <c r="E849" s="157"/>
      <c r="F849" s="158"/>
      <c r="G849" s="156"/>
      <c r="H849" s="156"/>
      <c r="I849" s="130"/>
      <c r="J849" s="130"/>
      <c r="K849" s="130"/>
    </row>
    <row r="850" ht="15.75" customHeight="1">
      <c r="A850" s="154"/>
      <c r="B850" s="154"/>
      <c r="C850" s="155"/>
      <c r="D850" s="156"/>
      <c r="E850" s="157"/>
      <c r="F850" s="158"/>
      <c r="G850" s="156"/>
      <c r="H850" s="156"/>
      <c r="I850" s="130"/>
      <c r="J850" s="130"/>
      <c r="K850" s="130"/>
    </row>
    <row r="851" ht="15.75" customHeight="1">
      <c r="A851" s="154"/>
      <c r="B851" s="154"/>
      <c r="C851" s="155"/>
      <c r="D851" s="156"/>
      <c r="E851" s="157"/>
      <c r="F851" s="158"/>
      <c r="G851" s="156"/>
      <c r="H851" s="156"/>
      <c r="I851" s="130"/>
      <c r="J851" s="130"/>
      <c r="K851" s="130"/>
    </row>
    <row r="852" ht="15.75" customHeight="1">
      <c r="A852" s="154"/>
      <c r="B852" s="154"/>
      <c r="C852" s="155"/>
      <c r="D852" s="156"/>
      <c r="E852" s="157"/>
      <c r="F852" s="158"/>
      <c r="G852" s="156"/>
      <c r="H852" s="156"/>
      <c r="I852" s="130"/>
      <c r="J852" s="130"/>
      <c r="K852" s="130"/>
    </row>
    <row r="853" ht="15.75" customHeight="1">
      <c r="A853" s="154"/>
      <c r="B853" s="154"/>
      <c r="C853" s="155"/>
      <c r="D853" s="156"/>
      <c r="E853" s="157"/>
      <c r="F853" s="158"/>
      <c r="G853" s="156"/>
      <c r="H853" s="156"/>
      <c r="I853" s="130"/>
      <c r="J853" s="130"/>
      <c r="K853" s="130"/>
    </row>
    <row r="854" ht="15.75" customHeight="1">
      <c r="A854" s="154"/>
      <c r="B854" s="154"/>
      <c r="C854" s="155"/>
      <c r="D854" s="156"/>
      <c r="E854" s="157"/>
      <c r="F854" s="158"/>
      <c r="G854" s="156"/>
      <c r="H854" s="156"/>
      <c r="I854" s="130"/>
      <c r="J854" s="130"/>
      <c r="K854" s="130"/>
    </row>
    <row r="855" ht="15.75" customHeight="1">
      <c r="A855" s="154"/>
      <c r="B855" s="154"/>
      <c r="C855" s="155"/>
      <c r="D855" s="156"/>
      <c r="E855" s="157"/>
      <c r="F855" s="158"/>
      <c r="G855" s="156"/>
      <c r="H855" s="156"/>
      <c r="I855" s="130"/>
      <c r="J855" s="130"/>
      <c r="K855" s="130"/>
    </row>
    <row r="856" ht="15.75" customHeight="1">
      <c r="A856" s="154"/>
      <c r="B856" s="154"/>
      <c r="C856" s="155"/>
      <c r="D856" s="156"/>
      <c r="E856" s="157"/>
      <c r="F856" s="158"/>
      <c r="G856" s="156"/>
      <c r="H856" s="156"/>
      <c r="I856" s="130"/>
      <c r="J856" s="130"/>
      <c r="K856" s="130"/>
    </row>
    <row r="857" ht="15.75" customHeight="1">
      <c r="A857" s="154"/>
      <c r="B857" s="154"/>
      <c r="C857" s="155"/>
      <c r="D857" s="156"/>
      <c r="E857" s="157"/>
      <c r="F857" s="158"/>
      <c r="G857" s="156"/>
      <c r="H857" s="156"/>
      <c r="I857" s="130"/>
      <c r="J857" s="130"/>
      <c r="K857" s="130"/>
    </row>
    <row r="858" ht="15.75" customHeight="1">
      <c r="A858" s="154"/>
      <c r="B858" s="154"/>
      <c r="C858" s="155"/>
      <c r="D858" s="156"/>
      <c r="E858" s="157"/>
      <c r="F858" s="158"/>
      <c r="G858" s="156"/>
      <c r="H858" s="156"/>
      <c r="I858" s="130"/>
      <c r="J858" s="130"/>
      <c r="K858" s="130"/>
    </row>
    <row r="859" ht="15.75" customHeight="1">
      <c r="A859" s="154"/>
      <c r="B859" s="154"/>
      <c r="C859" s="155"/>
      <c r="D859" s="156"/>
      <c r="E859" s="157"/>
      <c r="F859" s="158"/>
      <c r="G859" s="156"/>
      <c r="H859" s="156"/>
      <c r="I859" s="130"/>
      <c r="J859" s="130"/>
      <c r="K859" s="130"/>
    </row>
    <row r="860" ht="15.75" customHeight="1">
      <c r="A860" s="154"/>
      <c r="B860" s="154"/>
      <c r="C860" s="155"/>
      <c r="D860" s="156"/>
      <c r="E860" s="157"/>
      <c r="F860" s="158"/>
      <c r="G860" s="156"/>
      <c r="H860" s="156"/>
      <c r="I860" s="130"/>
      <c r="J860" s="130"/>
      <c r="K860" s="130"/>
    </row>
    <row r="861" ht="15.75" customHeight="1">
      <c r="A861" s="154"/>
      <c r="B861" s="154"/>
      <c r="C861" s="155"/>
      <c r="D861" s="156"/>
      <c r="E861" s="157"/>
      <c r="F861" s="158"/>
      <c r="G861" s="156"/>
      <c r="H861" s="156"/>
      <c r="I861" s="130"/>
      <c r="J861" s="130"/>
      <c r="K861" s="130"/>
    </row>
    <row r="862" ht="15.75" customHeight="1">
      <c r="A862" s="154"/>
      <c r="B862" s="154"/>
      <c r="C862" s="155"/>
      <c r="D862" s="156"/>
      <c r="E862" s="157"/>
      <c r="F862" s="158"/>
      <c r="G862" s="156"/>
      <c r="H862" s="156"/>
      <c r="I862" s="130"/>
      <c r="J862" s="130"/>
      <c r="K862" s="130"/>
    </row>
    <row r="863" ht="15.75" customHeight="1">
      <c r="A863" s="154"/>
      <c r="B863" s="154"/>
      <c r="C863" s="155"/>
      <c r="D863" s="156"/>
      <c r="E863" s="157"/>
      <c r="F863" s="158"/>
      <c r="G863" s="156"/>
      <c r="H863" s="156"/>
      <c r="I863" s="130"/>
      <c r="J863" s="130"/>
      <c r="K863" s="130"/>
    </row>
    <row r="864" ht="15.75" customHeight="1">
      <c r="A864" s="154"/>
      <c r="B864" s="154"/>
      <c r="C864" s="155"/>
      <c r="D864" s="156"/>
      <c r="E864" s="157"/>
      <c r="F864" s="158"/>
      <c r="G864" s="156"/>
      <c r="H864" s="156"/>
      <c r="I864" s="130"/>
      <c r="J864" s="130"/>
      <c r="K864" s="130"/>
    </row>
    <row r="865" ht="15.75" customHeight="1">
      <c r="A865" s="154"/>
      <c r="B865" s="154"/>
      <c r="C865" s="155"/>
      <c r="D865" s="156"/>
      <c r="E865" s="157"/>
      <c r="F865" s="158"/>
      <c r="G865" s="156"/>
      <c r="H865" s="156"/>
      <c r="I865" s="130"/>
      <c r="J865" s="130"/>
      <c r="K865" s="130"/>
    </row>
    <row r="866" ht="15.75" customHeight="1">
      <c r="A866" s="154"/>
      <c r="B866" s="154"/>
      <c r="C866" s="155"/>
      <c r="D866" s="156"/>
      <c r="E866" s="157"/>
      <c r="F866" s="158"/>
      <c r="G866" s="156"/>
      <c r="H866" s="156"/>
      <c r="I866" s="130"/>
      <c r="J866" s="130"/>
      <c r="K866" s="130"/>
    </row>
    <row r="867" ht="15.75" customHeight="1">
      <c r="A867" s="154"/>
      <c r="B867" s="154"/>
      <c r="C867" s="155"/>
      <c r="D867" s="156"/>
      <c r="E867" s="157"/>
      <c r="F867" s="158"/>
      <c r="G867" s="156"/>
      <c r="H867" s="156"/>
      <c r="I867" s="130"/>
      <c r="J867" s="130"/>
      <c r="K867" s="130"/>
    </row>
    <row r="868" ht="15.75" customHeight="1">
      <c r="A868" s="154"/>
      <c r="B868" s="154"/>
      <c r="C868" s="155"/>
      <c r="D868" s="156"/>
      <c r="E868" s="157"/>
      <c r="F868" s="158"/>
      <c r="G868" s="156"/>
      <c r="H868" s="156"/>
      <c r="I868" s="130"/>
      <c r="J868" s="130"/>
      <c r="K868" s="130"/>
    </row>
    <row r="869" ht="15.75" customHeight="1">
      <c r="A869" s="154"/>
      <c r="B869" s="154"/>
      <c r="C869" s="155"/>
      <c r="D869" s="156"/>
      <c r="E869" s="157"/>
      <c r="F869" s="158"/>
      <c r="G869" s="156"/>
      <c r="H869" s="156"/>
      <c r="I869" s="130"/>
      <c r="J869" s="130"/>
      <c r="K869" s="130"/>
    </row>
    <row r="870" ht="15.75" customHeight="1">
      <c r="A870" s="154"/>
      <c r="B870" s="154"/>
      <c r="C870" s="155"/>
      <c r="D870" s="156"/>
      <c r="E870" s="157"/>
      <c r="F870" s="158"/>
      <c r="G870" s="156"/>
      <c r="H870" s="156"/>
      <c r="I870" s="130"/>
      <c r="J870" s="130"/>
      <c r="K870" s="130"/>
    </row>
    <row r="871" ht="15.75" customHeight="1">
      <c r="A871" s="154"/>
      <c r="B871" s="154"/>
      <c r="C871" s="155"/>
      <c r="D871" s="156"/>
      <c r="E871" s="157"/>
      <c r="F871" s="158"/>
      <c r="G871" s="156"/>
      <c r="H871" s="156"/>
      <c r="I871" s="130"/>
      <c r="J871" s="130"/>
      <c r="K871" s="130"/>
    </row>
    <row r="872" ht="15.75" customHeight="1">
      <c r="A872" s="154"/>
      <c r="B872" s="154"/>
      <c r="C872" s="155"/>
      <c r="D872" s="156"/>
      <c r="E872" s="157"/>
      <c r="F872" s="158"/>
      <c r="G872" s="156"/>
      <c r="H872" s="156"/>
      <c r="I872" s="130"/>
      <c r="J872" s="130"/>
      <c r="K872" s="130"/>
    </row>
    <row r="873" ht="15.75" customHeight="1">
      <c r="A873" s="154"/>
      <c r="B873" s="154"/>
      <c r="C873" s="155"/>
      <c r="D873" s="156"/>
      <c r="E873" s="157"/>
      <c r="F873" s="158"/>
      <c r="G873" s="156"/>
      <c r="H873" s="156"/>
      <c r="I873" s="130"/>
      <c r="J873" s="130"/>
      <c r="K873" s="130"/>
    </row>
    <row r="874" ht="15.75" customHeight="1">
      <c r="A874" s="154"/>
      <c r="B874" s="154"/>
      <c r="C874" s="155"/>
      <c r="D874" s="156"/>
      <c r="E874" s="157"/>
      <c r="F874" s="158"/>
      <c r="G874" s="156"/>
      <c r="H874" s="156"/>
      <c r="I874" s="130"/>
      <c r="J874" s="130"/>
      <c r="K874" s="130"/>
    </row>
    <row r="875" ht="15.75" customHeight="1">
      <c r="A875" s="154"/>
      <c r="B875" s="154"/>
      <c r="C875" s="155"/>
      <c r="D875" s="156"/>
      <c r="E875" s="157"/>
      <c r="F875" s="158"/>
      <c r="G875" s="156"/>
      <c r="H875" s="156"/>
      <c r="I875" s="130"/>
      <c r="J875" s="130"/>
      <c r="K875" s="130"/>
    </row>
    <row r="876" ht="15.75" customHeight="1">
      <c r="A876" s="154"/>
      <c r="B876" s="154"/>
      <c r="C876" s="155"/>
      <c r="D876" s="156"/>
      <c r="E876" s="157"/>
      <c r="F876" s="158"/>
      <c r="G876" s="156"/>
      <c r="H876" s="156"/>
      <c r="I876" s="130"/>
      <c r="J876" s="130"/>
      <c r="K876" s="130"/>
    </row>
    <row r="877" ht="15.75" customHeight="1">
      <c r="A877" s="154"/>
      <c r="B877" s="154"/>
      <c r="C877" s="155"/>
      <c r="D877" s="156"/>
      <c r="E877" s="157"/>
      <c r="F877" s="158"/>
      <c r="G877" s="156"/>
      <c r="H877" s="156"/>
      <c r="I877" s="130"/>
      <c r="J877" s="130"/>
      <c r="K877" s="130"/>
    </row>
    <row r="878" ht="15.75" customHeight="1">
      <c r="A878" s="154"/>
      <c r="B878" s="154"/>
      <c r="C878" s="155"/>
      <c r="D878" s="156"/>
      <c r="E878" s="157"/>
      <c r="F878" s="158"/>
      <c r="G878" s="156"/>
      <c r="H878" s="156"/>
      <c r="I878" s="130"/>
      <c r="J878" s="130"/>
      <c r="K878" s="130"/>
    </row>
    <row r="879" ht="15.75" customHeight="1">
      <c r="A879" s="154"/>
      <c r="B879" s="154"/>
      <c r="C879" s="155"/>
      <c r="D879" s="156"/>
      <c r="E879" s="157"/>
      <c r="F879" s="158"/>
      <c r="G879" s="156"/>
      <c r="H879" s="156"/>
      <c r="I879" s="130"/>
      <c r="J879" s="130"/>
      <c r="K879" s="130"/>
    </row>
    <row r="880" ht="15.75" customHeight="1">
      <c r="A880" s="154"/>
      <c r="B880" s="154"/>
      <c r="C880" s="155"/>
      <c r="D880" s="156"/>
      <c r="E880" s="157"/>
      <c r="F880" s="158"/>
      <c r="G880" s="156"/>
      <c r="H880" s="156"/>
      <c r="I880" s="130"/>
      <c r="J880" s="130"/>
      <c r="K880" s="130"/>
    </row>
    <row r="881" ht="15.75" customHeight="1">
      <c r="A881" s="154"/>
      <c r="B881" s="154"/>
      <c r="C881" s="155"/>
      <c r="D881" s="156"/>
      <c r="E881" s="157"/>
      <c r="F881" s="158"/>
      <c r="G881" s="156"/>
      <c r="H881" s="156"/>
      <c r="I881" s="130"/>
      <c r="J881" s="130"/>
      <c r="K881" s="130"/>
    </row>
    <row r="882" ht="15.75" customHeight="1">
      <c r="A882" s="154"/>
      <c r="B882" s="154"/>
      <c r="C882" s="155"/>
      <c r="D882" s="156"/>
      <c r="E882" s="157"/>
      <c r="F882" s="158"/>
      <c r="G882" s="156"/>
      <c r="H882" s="156"/>
      <c r="I882" s="130"/>
      <c r="J882" s="130"/>
      <c r="K882" s="130"/>
    </row>
    <row r="883" ht="15.75" customHeight="1">
      <c r="A883" s="154"/>
      <c r="B883" s="154"/>
      <c r="C883" s="155"/>
      <c r="D883" s="156"/>
      <c r="E883" s="157"/>
      <c r="F883" s="158"/>
      <c r="G883" s="156"/>
      <c r="H883" s="156"/>
      <c r="I883" s="130"/>
      <c r="J883" s="130"/>
      <c r="K883" s="130"/>
    </row>
    <row r="884" ht="15.75" customHeight="1">
      <c r="A884" s="154"/>
      <c r="B884" s="154"/>
      <c r="C884" s="155"/>
      <c r="D884" s="156"/>
      <c r="E884" s="157"/>
      <c r="F884" s="158"/>
      <c r="G884" s="156"/>
      <c r="H884" s="156"/>
      <c r="I884" s="130"/>
      <c r="J884" s="130"/>
      <c r="K884" s="130"/>
    </row>
    <row r="885" ht="15.75" customHeight="1">
      <c r="A885" s="154"/>
      <c r="B885" s="154"/>
      <c r="C885" s="155"/>
      <c r="D885" s="156"/>
      <c r="E885" s="157"/>
      <c r="F885" s="158"/>
      <c r="G885" s="156"/>
      <c r="H885" s="156"/>
      <c r="I885" s="130"/>
      <c r="J885" s="130"/>
      <c r="K885" s="130"/>
    </row>
    <row r="886" ht="15.75" customHeight="1">
      <c r="A886" s="154"/>
      <c r="B886" s="154"/>
      <c r="C886" s="155"/>
      <c r="D886" s="156"/>
      <c r="E886" s="157"/>
      <c r="F886" s="158"/>
      <c r="G886" s="156"/>
      <c r="H886" s="156"/>
      <c r="I886" s="130"/>
      <c r="J886" s="130"/>
      <c r="K886" s="130"/>
    </row>
    <row r="887" ht="15.75" customHeight="1">
      <c r="A887" s="154"/>
      <c r="B887" s="154"/>
      <c r="C887" s="155"/>
      <c r="D887" s="156"/>
      <c r="E887" s="157"/>
      <c r="F887" s="158"/>
      <c r="G887" s="156"/>
      <c r="H887" s="156"/>
      <c r="I887" s="130"/>
      <c r="J887" s="130"/>
      <c r="K887" s="130"/>
    </row>
    <row r="888" ht="15.75" customHeight="1">
      <c r="A888" s="154"/>
      <c r="B888" s="154"/>
      <c r="C888" s="155"/>
      <c r="D888" s="156"/>
      <c r="E888" s="157"/>
      <c r="F888" s="158"/>
      <c r="G888" s="156"/>
      <c r="H888" s="156"/>
      <c r="I888" s="130"/>
      <c r="J888" s="130"/>
      <c r="K888" s="130"/>
    </row>
    <row r="889" ht="15.75" customHeight="1">
      <c r="A889" s="154"/>
      <c r="B889" s="154"/>
      <c r="C889" s="155"/>
      <c r="D889" s="156"/>
      <c r="E889" s="157"/>
      <c r="F889" s="158"/>
      <c r="G889" s="156"/>
      <c r="H889" s="156"/>
      <c r="I889" s="130"/>
      <c r="J889" s="130"/>
      <c r="K889" s="130"/>
    </row>
    <row r="890" ht="15.75" customHeight="1">
      <c r="A890" s="154"/>
      <c r="B890" s="154"/>
      <c r="C890" s="155"/>
      <c r="D890" s="156"/>
      <c r="E890" s="157"/>
      <c r="F890" s="158"/>
      <c r="G890" s="156"/>
      <c r="H890" s="156"/>
      <c r="I890" s="130"/>
      <c r="J890" s="130"/>
      <c r="K890" s="130"/>
    </row>
    <row r="891" ht="15.75" customHeight="1">
      <c r="A891" s="154"/>
      <c r="B891" s="154"/>
      <c r="C891" s="155"/>
      <c r="D891" s="156"/>
      <c r="E891" s="157"/>
      <c r="F891" s="158"/>
      <c r="G891" s="156"/>
      <c r="H891" s="156"/>
      <c r="I891" s="130"/>
      <c r="J891" s="130"/>
      <c r="K891" s="130"/>
    </row>
    <row r="892" ht="15.75" customHeight="1">
      <c r="A892" s="154"/>
      <c r="B892" s="154"/>
      <c r="C892" s="155"/>
      <c r="D892" s="156"/>
      <c r="E892" s="157"/>
      <c r="F892" s="158"/>
      <c r="G892" s="156"/>
      <c r="H892" s="156"/>
      <c r="I892" s="130"/>
      <c r="J892" s="130"/>
      <c r="K892" s="130"/>
    </row>
    <row r="893" ht="15.75" customHeight="1">
      <c r="A893" s="154"/>
      <c r="B893" s="154"/>
      <c r="C893" s="155"/>
      <c r="D893" s="156"/>
      <c r="E893" s="157"/>
      <c r="F893" s="158"/>
      <c r="G893" s="156"/>
      <c r="H893" s="156"/>
      <c r="I893" s="130"/>
      <c r="J893" s="130"/>
      <c r="K893" s="130"/>
    </row>
    <row r="894" ht="15.75" customHeight="1">
      <c r="A894" s="154"/>
      <c r="B894" s="154"/>
      <c r="C894" s="155"/>
      <c r="D894" s="156"/>
      <c r="E894" s="157"/>
      <c r="F894" s="158"/>
      <c r="G894" s="156"/>
      <c r="H894" s="156"/>
      <c r="I894" s="130"/>
      <c r="J894" s="130"/>
      <c r="K894" s="130"/>
    </row>
    <row r="895" ht="15.75" customHeight="1">
      <c r="A895" s="154"/>
      <c r="B895" s="154"/>
      <c r="C895" s="155"/>
      <c r="D895" s="156"/>
      <c r="E895" s="157"/>
      <c r="F895" s="158"/>
      <c r="G895" s="156"/>
      <c r="H895" s="156"/>
      <c r="I895" s="130"/>
      <c r="J895" s="130"/>
      <c r="K895" s="130"/>
    </row>
    <row r="896" ht="15.75" customHeight="1">
      <c r="A896" s="154"/>
      <c r="B896" s="154"/>
      <c r="C896" s="155"/>
      <c r="D896" s="156"/>
      <c r="E896" s="157"/>
      <c r="F896" s="158"/>
      <c r="G896" s="156"/>
      <c r="H896" s="156"/>
      <c r="I896" s="130"/>
      <c r="J896" s="130"/>
      <c r="K896" s="130"/>
    </row>
    <row r="897" ht="15.75" customHeight="1">
      <c r="A897" s="154"/>
      <c r="B897" s="154"/>
      <c r="C897" s="155"/>
      <c r="D897" s="156"/>
      <c r="E897" s="157"/>
      <c r="F897" s="158"/>
      <c r="G897" s="156"/>
      <c r="H897" s="156"/>
      <c r="I897" s="130"/>
      <c r="J897" s="130"/>
      <c r="K897" s="130"/>
    </row>
    <row r="898" ht="15.75" customHeight="1">
      <c r="A898" s="154"/>
      <c r="B898" s="154"/>
      <c r="C898" s="155"/>
      <c r="D898" s="156"/>
      <c r="E898" s="157"/>
      <c r="F898" s="158"/>
      <c r="G898" s="156"/>
      <c r="H898" s="156"/>
      <c r="I898" s="130"/>
      <c r="J898" s="130"/>
      <c r="K898" s="130"/>
    </row>
    <row r="899" ht="15.75" customHeight="1">
      <c r="A899" s="154"/>
      <c r="B899" s="154"/>
      <c r="C899" s="155"/>
      <c r="D899" s="156"/>
      <c r="E899" s="157"/>
      <c r="F899" s="158"/>
      <c r="G899" s="156"/>
      <c r="H899" s="156"/>
      <c r="I899" s="130"/>
      <c r="J899" s="130"/>
      <c r="K899" s="130"/>
    </row>
    <row r="900" ht="15.75" customHeight="1">
      <c r="A900" s="154"/>
      <c r="B900" s="154"/>
      <c r="C900" s="155"/>
      <c r="D900" s="156"/>
      <c r="E900" s="157"/>
      <c r="F900" s="158"/>
      <c r="G900" s="156"/>
      <c r="H900" s="156"/>
      <c r="I900" s="130"/>
      <c r="J900" s="130"/>
      <c r="K900" s="130"/>
    </row>
    <row r="901" ht="15.75" customHeight="1">
      <c r="A901" s="154"/>
      <c r="B901" s="154"/>
      <c r="C901" s="155"/>
      <c r="D901" s="156"/>
      <c r="E901" s="157"/>
      <c r="F901" s="158"/>
      <c r="G901" s="156"/>
      <c r="H901" s="156"/>
      <c r="I901" s="130"/>
      <c r="J901" s="130"/>
      <c r="K901" s="130"/>
    </row>
    <row r="902" ht="15.75" customHeight="1">
      <c r="A902" s="154"/>
      <c r="B902" s="154"/>
      <c r="C902" s="155"/>
      <c r="D902" s="156"/>
      <c r="E902" s="157"/>
      <c r="F902" s="158"/>
      <c r="G902" s="156"/>
      <c r="H902" s="156"/>
      <c r="I902" s="130"/>
      <c r="J902" s="130"/>
      <c r="K902" s="130"/>
    </row>
    <row r="903" ht="15.75" customHeight="1">
      <c r="A903" s="154"/>
      <c r="B903" s="154"/>
      <c r="C903" s="155"/>
      <c r="D903" s="156"/>
      <c r="E903" s="157"/>
      <c r="F903" s="158"/>
      <c r="G903" s="156"/>
      <c r="H903" s="156"/>
      <c r="I903" s="130"/>
      <c r="J903" s="130"/>
      <c r="K903" s="130"/>
    </row>
    <row r="904" ht="15.75" customHeight="1">
      <c r="A904" s="154"/>
      <c r="B904" s="154"/>
      <c r="C904" s="155"/>
      <c r="D904" s="156"/>
      <c r="E904" s="157"/>
      <c r="F904" s="158"/>
      <c r="G904" s="156"/>
      <c r="H904" s="156"/>
      <c r="I904" s="130"/>
      <c r="J904" s="130"/>
      <c r="K904" s="130"/>
    </row>
    <row r="905" ht="15.75" customHeight="1">
      <c r="A905" s="154"/>
      <c r="B905" s="154"/>
      <c r="C905" s="155"/>
      <c r="D905" s="156"/>
      <c r="E905" s="157"/>
      <c r="F905" s="158"/>
      <c r="G905" s="156"/>
      <c r="H905" s="156"/>
      <c r="I905" s="130"/>
      <c r="J905" s="130"/>
      <c r="K905" s="130"/>
    </row>
    <row r="906" ht="15.75" customHeight="1">
      <c r="A906" s="154"/>
      <c r="B906" s="154"/>
      <c r="C906" s="155"/>
      <c r="D906" s="156"/>
      <c r="E906" s="157"/>
      <c r="F906" s="158"/>
      <c r="G906" s="156"/>
      <c r="H906" s="156"/>
      <c r="I906" s="130"/>
      <c r="J906" s="130"/>
      <c r="K906" s="130"/>
    </row>
    <row r="907" ht="15.75" customHeight="1">
      <c r="A907" s="154"/>
      <c r="B907" s="154"/>
      <c r="C907" s="155"/>
      <c r="D907" s="156"/>
      <c r="E907" s="157"/>
      <c r="F907" s="158"/>
      <c r="G907" s="156"/>
      <c r="H907" s="156"/>
      <c r="I907" s="130"/>
      <c r="J907" s="130"/>
      <c r="K907" s="130"/>
    </row>
    <row r="908" ht="15.75" customHeight="1">
      <c r="A908" s="154"/>
      <c r="B908" s="154"/>
      <c r="C908" s="155"/>
      <c r="D908" s="156"/>
      <c r="E908" s="157"/>
      <c r="F908" s="158"/>
      <c r="G908" s="156"/>
      <c r="H908" s="156"/>
      <c r="I908" s="130"/>
      <c r="J908" s="130"/>
      <c r="K908" s="130"/>
    </row>
    <row r="909" ht="15.75" customHeight="1">
      <c r="A909" s="154"/>
      <c r="B909" s="154"/>
      <c r="C909" s="155"/>
      <c r="D909" s="156"/>
      <c r="E909" s="157"/>
      <c r="F909" s="158"/>
      <c r="G909" s="156"/>
      <c r="H909" s="156"/>
      <c r="I909" s="130"/>
      <c r="J909" s="130"/>
      <c r="K909" s="130"/>
    </row>
    <row r="910" ht="15.75" customHeight="1">
      <c r="A910" s="154"/>
      <c r="B910" s="154"/>
      <c r="C910" s="155"/>
      <c r="D910" s="156"/>
      <c r="E910" s="157"/>
      <c r="F910" s="158"/>
      <c r="G910" s="156"/>
      <c r="H910" s="156"/>
      <c r="I910" s="130"/>
      <c r="J910" s="130"/>
      <c r="K910" s="130"/>
    </row>
    <row r="911" ht="15.75" customHeight="1">
      <c r="A911" s="154"/>
      <c r="B911" s="154"/>
      <c r="C911" s="155"/>
      <c r="D911" s="156"/>
      <c r="E911" s="157"/>
      <c r="F911" s="158"/>
      <c r="G911" s="156"/>
      <c r="H911" s="156"/>
      <c r="I911" s="130"/>
      <c r="J911" s="130"/>
      <c r="K911" s="130"/>
    </row>
    <row r="912" ht="15.75" customHeight="1">
      <c r="A912" s="154"/>
      <c r="B912" s="154"/>
      <c r="C912" s="155"/>
      <c r="D912" s="156"/>
      <c r="E912" s="157"/>
      <c r="F912" s="158"/>
      <c r="G912" s="156"/>
      <c r="H912" s="156"/>
      <c r="I912" s="130"/>
      <c r="J912" s="130"/>
      <c r="K912" s="130"/>
    </row>
    <row r="913" ht="15.75" customHeight="1">
      <c r="A913" s="154"/>
      <c r="B913" s="154"/>
      <c r="C913" s="155"/>
      <c r="D913" s="156"/>
      <c r="E913" s="157"/>
      <c r="F913" s="158"/>
      <c r="G913" s="156"/>
      <c r="H913" s="156"/>
      <c r="I913" s="130"/>
      <c r="J913" s="130"/>
      <c r="K913" s="130"/>
    </row>
    <row r="914" ht="15.75" customHeight="1">
      <c r="A914" s="154"/>
      <c r="B914" s="154"/>
      <c r="C914" s="155"/>
      <c r="D914" s="156"/>
      <c r="E914" s="157"/>
      <c r="F914" s="158"/>
      <c r="G914" s="156"/>
      <c r="H914" s="156"/>
      <c r="I914" s="130"/>
      <c r="J914" s="130"/>
      <c r="K914" s="130"/>
    </row>
    <row r="915" ht="15.75" customHeight="1">
      <c r="A915" s="154"/>
      <c r="B915" s="154"/>
      <c r="C915" s="155"/>
      <c r="D915" s="156"/>
      <c r="E915" s="157"/>
      <c r="F915" s="158"/>
      <c r="G915" s="156"/>
      <c r="H915" s="156"/>
      <c r="I915" s="130"/>
      <c r="J915" s="130"/>
      <c r="K915" s="130"/>
    </row>
    <row r="916" ht="15.75" customHeight="1">
      <c r="A916" s="154"/>
      <c r="B916" s="154"/>
      <c r="C916" s="155"/>
      <c r="D916" s="156"/>
      <c r="E916" s="157"/>
      <c r="F916" s="158"/>
      <c r="G916" s="156"/>
      <c r="H916" s="156"/>
      <c r="I916" s="130"/>
      <c r="J916" s="130"/>
      <c r="K916" s="130"/>
    </row>
    <row r="917" ht="15.75" customHeight="1">
      <c r="A917" s="154"/>
      <c r="B917" s="154"/>
      <c r="C917" s="155"/>
      <c r="D917" s="156"/>
      <c r="E917" s="157"/>
      <c r="F917" s="158"/>
      <c r="G917" s="156"/>
      <c r="H917" s="156"/>
      <c r="I917" s="130"/>
      <c r="J917" s="130"/>
      <c r="K917" s="130"/>
    </row>
    <row r="918" ht="15.75" customHeight="1">
      <c r="A918" s="154"/>
      <c r="B918" s="154"/>
      <c r="C918" s="155"/>
      <c r="D918" s="156"/>
      <c r="E918" s="157"/>
      <c r="F918" s="158"/>
      <c r="G918" s="156"/>
      <c r="H918" s="156"/>
      <c r="I918" s="130"/>
      <c r="J918" s="130"/>
      <c r="K918" s="130"/>
    </row>
    <row r="919" ht="15.75" customHeight="1">
      <c r="A919" s="154"/>
      <c r="B919" s="154"/>
      <c r="C919" s="155"/>
      <c r="D919" s="156"/>
      <c r="E919" s="157"/>
      <c r="F919" s="158"/>
      <c r="G919" s="156"/>
      <c r="H919" s="156"/>
      <c r="I919" s="130"/>
      <c r="J919" s="130"/>
      <c r="K919" s="130"/>
    </row>
    <row r="920" ht="15.75" customHeight="1">
      <c r="A920" s="154"/>
      <c r="B920" s="154"/>
      <c r="C920" s="155"/>
      <c r="D920" s="156"/>
      <c r="E920" s="157"/>
      <c r="F920" s="158"/>
      <c r="G920" s="156"/>
      <c r="H920" s="156"/>
      <c r="I920" s="130"/>
      <c r="J920" s="130"/>
      <c r="K920" s="130"/>
    </row>
    <row r="921" ht="15.75" customHeight="1">
      <c r="A921" s="154"/>
      <c r="B921" s="154"/>
      <c r="C921" s="155"/>
      <c r="D921" s="156"/>
      <c r="E921" s="157"/>
      <c r="F921" s="158"/>
      <c r="G921" s="156"/>
      <c r="H921" s="156"/>
      <c r="I921" s="130"/>
      <c r="J921" s="130"/>
      <c r="K921" s="130"/>
    </row>
    <row r="922" ht="15.75" customHeight="1">
      <c r="A922" s="154"/>
      <c r="B922" s="154"/>
      <c r="C922" s="155"/>
      <c r="D922" s="156"/>
      <c r="E922" s="157"/>
      <c r="F922" s="158"/>
      <c r="G922" s="156"/>
      <c r="H922" s="156"/>
      <c r="I922" s="130"/>
      <c r="J922" s="130"/>
      <c r="K922" s="130"/>
    </row>
    <row r="923" ht="15.75" customHeight="1">
      <c r="A923" s="154"/>
      <c r="B923" s="154"/>
      <c r="C923" s="155"/>
      <c r="D923" s="156"/>
      <c r="E923" s="157"/>
      <c r="F923" s="158"/>
      <c r="G923" s="156"/>
      <c r="H923" s="156"/>
      <c r="I923" s="130"/>
      <c r="J923" s="130"/>
      <c r="K923" s="130"/>
    </row>
    <row r="924" ht="15.75" customHeight="1">
      <c r="A924" s="154"/>
      <c r="B924" s="154"/>
      <c r="C924" s="155"/>
      <c r="D924" s="156"/>
      <c r="E924" s="157"/>
      <c r="F924" s="158"/>
      <c r="G924" s="156"/>
      <c r="H924" s="156"/>
      <c r="I924" s="130"/>
      <c r="J924" s="130"/>
      <c r="K924" s="130"/>
    </row>
    <row r="925" ht="15.75" customHeight="1">
      <c r="A925" s="154"/>
      <c r="B925" s="154"/>
      <c r="C925" s="155"/>
      <c r="D925" s="156"/>
      <c r="E925" s="157"/>
      <c r="F925" s="158"/>
      <c r="G925" s="156"/>
      <c r="H925" s="156"/>
      <c r="I925" s="130"/>
      <c r="J925" s="130"/>
      <c r="K925" s="130"/>
    </row>
    <row r="926" ht="15.75" customHeight="1">
      <c r="A926" s="154"/>
      <c r="B926" s="154"/>
      <c r="C926" s="155"/>
      <c r="D926" s="156"/>
      <c r="E926" s="157"/>
      <c r="F926" s="158"/>
      <c r="G926" s="156"/>
      <c r="H926" s="156"/>
      <c r="I926" s="130"/>
      <c r="J926" s="130"/>
      <c r="K926" s="130"/>
    </row>
    <row r="927" ht="15.75" customHeight="1">
      <c r="A927" s="154"/>
      <c r="B927" s="154"/>
      <c r="C927" s="155"/>
      <c r="D927" s="156"/>
      <c r="E927" s="157"/>
      <c r="F927" s="158"/>
      <c r="G927" s="156"/>
      <c r="H927" s="156"/>
      <c r="I927" s="130"/>
      <c r="J927" s="130"/>
      <c r="K927" s="130"/>
    </row>
    <row r="928" ht="15.75" customHeight="1">
      <c r="A928" s="154"/>
      <c r="B928" s="154"/>
      <c r="C928" s="155"/>
      <c r="D928" s="156"/>
      <c r="E928" s="157"/>
      <c r="F928" s="158"/>
      <c r="G928" s="156"/>
      <c r="H928" s="156"/>
      <c r="I928" s="130"/>
      <c r="J928" s="130"/>
      <c r="K928" s="130"/>
    </row>
    <row r="929" ht="15.75" customHeight="1">
      <c r="A929" s="154"/>
      <c r="B929" s="154"/>
      <c r="C929" s="155"/>
      <c r="D929" s="156"/>
      <c r="E929" s="157"/>
      <c r="F929" s="158"/>
      <c r="G929" s="156"/>
      <c r="H929" s="156"/>
      <c r="I929" s="130"/>
      <c r="J929" s="130"/>
      <c r="K929" s="130"/>
    </row>
    <row r="930" ht="15.75" customHeight="1">
      <c r="A930" s="154"/>
      <c r="B930" s="154"/>
      <c r="C930" s="155"/>
      <c r="D930" s="156"/>
      <c r="E930" s="157"/>
      <c r="F930" s="158"/>
      <c r="G930" s="156"/>
      <c r="H930" s="156"/>
      <c r="I930" s="130"/>
      <c r="J930" s="130"/>
      <c r="K930" s="130"/>
    </row>
    <row r="931" ht="15.75" customHeight="1">
      <c r="A931" s="154"/>
      <c r="B931" s="154"/>
      <c r="C931" s="155"/>
      <c r="D931" s="156"/>
      <c r="E931" s="157"/>
      <c r="F931" s="158"/>
      <c r="G931" s="156"/>
      <c r="H931" s="156"/>
      <c r="I931" s="130"/>
      <c r="J931" s="130"/>
      <c r="K931" s="130"/>
    </row>
    <row r="932" ht="15.75" customHeight="1">
      <c r="A932" s="154"/>
      <c r="B932" s="154"/>
      <c r="C932" s="155"/>
      <c r="D932" s="156"/>
      <c r="E932" s="157"/>
      <c r="F932" s="158"/>
      <c r="G932" s="156"/>
      <c r="H932" s="156"/>
      <c r="I932" s="130"/>
      <c r="J932" s="130"/>
      <c r="K932" s="130"/>
    </row>
    <row r="933" ht="15.75" customHeight="1">
      <c r="A933" s="154"/>
      <c r="B933" s="154"/>
      <c r="C933" s="155"/>
      <c r="D933" s="156"/>
      <c r="E933" s="157"/>
      <c r="F933" s="158"/>
      <c r="G933" s="156"/>
      <c r="H933" s="156"/>
      <c r="I933" s="130"/>
      <c r="J933" s="130"/>
      <c r="K933" s="130"/>
    </row>
    <row r="934" ht="15.75" customHeight="1">
      <c r="A934" s="154"/>
      <c r="B934" s="154"/>
      <c r="C934" s="155"/>
      <c r="D934" s="156"/>
      <c r="E934" s="157"/>
      <c r="F934" s="158"/>
      <c r="G934" s="156"/>
      <c r="H934" s="156"/>
      <c r="I934" s="130"/>
      <c r="J934" s="130"/>
      <c r="K934" s="130"/>
    </row>
    <row r="935" ht="15.75" customHeight="1">
      <c r="A935" s="154"/>
      <c r="B935" s="154"/>
      <c r="C935" s="155"/>
      <c r="D935" s="156"/>
      <c r="E935" s="157"/>
      <c r="F935" s="158"/>
      <c r="G935" s="156"/>
      <c r="H935" s="156"/>
      <c r="I935" s="130"/>
      <c r="J935" s="130"/>
      <c r="K935" s="130"/>
    </row>
    <row r="936" ht="15.75" customHeight="1">
      <c r="A936" s="154"/>
      <c r="B936" s="154"/>
      <c r="C936" s="155"/>
      <c r="D936" s="156"/>
      <c r="E936" s="157"/>
      <c r="F936" s="158"/>
      <c r="G936" s="156"/>
      <c r="H936" s="156"/>
      <c r="I936" s="130"/>
      <c r="J936" s="130"/>
      <c r="K936" s="130"/>
    </row>
    <row r="937" ht="15.75" customHeight="1">
      <c r="A937" s="154"/>
      <c r="B937" s="154"/>
      <c r="C937" s="155"/>
      <c r="D937" s="156"/>
      <c r="E937" s="157"/>
      <c r="F937" s="158"/>
      <c r="G937" s="156"/>
      <c r="H937" s="156"/>
      <c r="I937" s="130"/>
      <c r="J937" s="130"/>
      <c r="K937" s="130"/>
    </row>
    <row r="938" ht="15.75" customHeight="1">
      <c r="A938" s="154"/>
      <c r="B938" s="154"/>
      <c r="C938" s="155"/>
      <c r="D938" s="156"/>
      <c r="E938" s="157"/>
      <c r="F938" s="158"/>
      <c r="G938" s="156"/>
      <c r="H938" s="156"/>
      <c r="I938" s="130"/>
      <c r="J938" s="130"/>
      <c r="K938" s="130"/>
    </row>
    <row r="939" ht="15.75" customHeight="1">
      <c r="A939" s="154"/>
      <c r="B939" s="154"/>
      <c r="C939" s="155"/>
      <c r="D939" s="156"/>
      <c r="E939" s="157"/>
      <c r="F939" s="158"/>
      <c r="G939" s="156"/>
      <c r="H939" s="156"/>
      <c r="I939" s="130"/>
      <c r="J939" s="130"/>
      <c r="K939" s="130"/>
    </row>
    <row r="940" ht="15.75" customHeight="1">
      <c r="A940" s="154"/>
      <c r="B940" s="154"/>
      <c r="C940" s="155"/>
      <c r="D940" s="156"/>
      <c r="E940" s="157"/>
      <c r="F940" s="158"/>
      <c r="G940" s="156"/>
      <c r="H940" s="156"/>
      <c r="I940" s="130"/>
      <c r="J940" s="130"/>
      <c r="K940" s="130"/>
    </row>
    <row r="941" ht="15.75" customHeight="1">
      <c r="A941" s="154"/>
      <c r="B941" s="154"/>
      <c r="C941" s="155"/>
      <c r="D941" s="156"/>
      <c r="E941" s="157"/>
      <c r="F941" s="158"/>
      <c r="G941" s="156"/>
      <c r="H941" s="156"/>
      <c r="I941" s="130"/>
      <c r="J941" s="130"/>
      <c r="K941" s="130"/>
    </row>
    <row r="942" ht="15.75" customHeight="1">
      <c r="A942" s="154"/>
      <c r="B942" s="154"/>
      <c r="C942" s="155"/>
      <c r="D942" s="156"/>
      <c r="E942" s="157"/>
      <c r="F942" s="158"/>
      <c r="G942" s="156"/>
      <c r="H942" s="156"/>
      <c r="I942" s="130"/>
      <c r="J942" s="130"/>
      <c r="K942" s="130"/>
    </row>
    <row r="943" ht="15.75" customHeight="1">
      <c r="A943" s="154"/>
      <c r="B943" s="154"/>
      <c r="C943" s="155"/>
      <c r="D943" s="156"/>
      <c r="E943" s="157"/>
      <c r="F943" s="158"/>
      <c r="G943" s="156"/>
      <c r="H943" s="156"/>
      <c r="I943" s="130"/>
      <c r="J943" s="130"/>
      <c r="K943" s="130"/>
    </row>
    <row r="944" ht="15.75" customHeight="1">
      <c r="A944" s="154"/>
      <c r="B944" s="154"/>
      <c r="C944" s="155"/>
      <c r="D944" s="156"/>
      <c r="E944" s="157"/>
      <c r="F944" s="158"/>
      <c r="G944" s="156"/>
      <c r="H944" s="156"/>
      <c r="I944" s="130"/>
      <c r="J944" s="130"/>
      <c r="K944" s="130"/>
    </row>
    <row r="945" ht="15.75" customHeight="1">
      <c r="A945" s="154"/>
      <c r="B945" s="154"/>
      <c r="C945" s="155"/>
      <c r="D945" s="156"/>
      <c r="E945" s="157"/>
      <c r="F945" s="158"/>
      <c r="G945" s="156"/>
      <c r="H945" s="156"/>
      <c r="I945" s="130"/>
      <c r="J945" s="130"/>
      <c r="K945" s="130"/>
    </row>
    <row r="946" ht="15.75" customHeight="1">
      <c r="A946" s="154"/>
      <c r="B946" s="154"/>
      <c r="C946" s="155"/>
      <c r="D946" s="156"/>
      <c r="E946" s="157"/>
      <c r="F946" s="158"/>
      <c r="G946" s="156"/>
      <c r="H946" s="156"/>
      <c r="I946" s="130"/>
      <c r="J946" s="130"/>
      <c r="K946" s="130"/>
    </row>
    <row r="947" ht="15.75" customHeight="1">
      <c r="A947" s="154"/>
      <c r="B947" s="154"/>
      <c r="C947" s="155"/>
      <c r="D947" s="156"/>
      <c r="E947" s="157"/>
      <c r="F947" s="158"/>
      <c r="G947" s="156"/>
      <c r="H947" s="156"/>
      <c r="I947" s="130"/>
      <c r="J947" s="130"/>
      <c r="K947" s="130"/>
    </row>
    <row r="948" ht="15.75" customHeight="1">
      <c r="A948" s="154"/>
      <c r="B948" s="154"/>
      <c r="C948" s="155"/>
      <c r="D948" s="156"/>
      <c r="E948" s="157"/>
      <c r="F948" s="158"/>
      <c r="G948" s="156"/>
      <c r="H948" s="156"/>
      <c r="I948" s="130"/>
      <c r="J948" s="130"/>
      <c r="K948" s="130"/>
    </row>
    <row r="949" ht="15.75" customHeight="1">
      <c r="A949" s="154"/>
      <c r="B949" s="154"/>
      <c r="C949" s="155"/>
      <c r="D949" s="156"/>
      <c r="E949" s="157"/>
      <c r="F949" s="158"/>
      <c r="G949" s="156"/>
      <c r="H949" s="156"/>
      <c r="I949" s="130"/>
      <c r="J949" s="130"/>
      <c r="K949" s="130"/>
    </row>
    <row r="950" ht="15.75" customHeight="1">
      <c r="A950" s="154"/>
      <c r="B950" s="154"/>
      <c r="C950" s="155"/>
      <c r="D950" s="156"/>
      <c r="E950" s="157"/>
      <c r="F950" s="158"/>
      <c r="G950" s="156"/>
      <c r="H950" s="156"/>
      <c r="I950" s="130"/>
      <c r="J950" s="130"/>
      <c r="K950" s="130"/>
    </row>
    <row r="951" ht="15.75" customHeight="1">
      <c r="A951" s="154"/>
      <c r="B951" s="154"/>
      <c r="C951" s="155"/>
      <c r="D951" s="156"/>
      <c r="E951" s="157"/>
      <c r="F951" s="158"/>
      <c r="G951" s="156"/>
      <c r="H951" s="156"/>
      <c r="I951" s="130"/>
      <c r="J951" s="130"/>
      <c r="K951" s="130"/>
    </row>
    <row r="952" ht="15.75" customHeight="1">
      <c r="A952" s="154"/>
      <c r="B952" s="154"/>
      <c r="C952" s="155"/>
      <c r="D952" s="156"/>
      <c r="E952" s="157"/>
      <c r="F952" s="158"/>
      <c r="G952" s="156"/>
      <c r="H952" s="156"/>
      <c r="I952" s="130"/>
      <c r="J952" s="130"/>
      <c r="K952" s="130"/>
    </row>
    <row r="953" ht="15.75" customHeight="1">
      <c r="A953" s="154"/>
      <c r="B953" s="154"/>
      <c r="C953" s="155"/>
      <c r="D953" s="156"/>
      <c r="E953" s="157"/>
      <c r="F953" s="158"/>
      <c r="G953" s="156"/>
      <c r="H953" s="156"/>
      <c r="I953" s="130"/>
      <c r="J953" s="130"/>
      <c r="K953" s="130"/>
    </row>
    <row r="954" ht="15.75" customHeight="1">
      <c r="A954" s="154"/>
      <c r="B954" s="154"/>
      <c r="C954" s="155"/>
      <c r="D954" s="156"/>
      <c r="E954" s="157"/>
      <c r="F954" s="158"/>
      <c r="G954" s="156"/>
      <c r="H954" s="156"/>
      <c r="I954" s="130"/>
      <c r="J954" s="130"/>
      <c r="K954" s="130"/>
    </row>
    <row r="955" ht="15.75" customHeight="1">
      <c r="A955" s="154"/>
      <c r="B955" s="154"/>
      <c r="C955" s="155"/>
      <c r="D955" s="156"/>
      <c r="E955" s="157"/>
      <c r="F955" s="158"/>
      <c r="G955" s="156"/>
      <c r="H955" s="156"/>
      <c r="I955" s="130"/>
      <c r="J955" s="130"/>
      <c r="K955" s="130"/>
    </row>
    <row r="956" ht="15.75" customHeight="1">
      <c r="A956" s="154"/>
      <c r="B956" s="154"/>
      <c r="C956" s="155"/>
      <c r="D956" s="156"/>
      <c r="E956" s="157"/>
      <c r="F956" s="158"/>
      <c r="G956" s="156"/>
      <c r="H956" s="156"/>
      <c r="I956" s="130"/>
      <c r="J956" s="130"/>
      <c r="K956" s="130"/>
    </row>
    <row r="957" ht="15.75" customHeight="1">
      <c r="A957" s="154"/>
      <c r="B957" s="154"/>
      <c r="C957" s="155"/>
      <c r="D957" s="156"/>
      <c r="E957" s="157"/>
      <c r="F957" s="158"/>
      <c r="G957" s="156"/>
      <c r="H957" s="156"/>
      <c r="I957" s="130"/>
      <c r="J957" s="130"/>
      <c r="K957" s="130"/>
    </row>
    <row r="958" ht="15.75" customHeight="1">
      <c r="A958" s="154"/>
      <c r="B958" s="154"/>
      <c r="C958" s="155"/>
      <c r="D958" s="156"/>
      <c r="E958" s="157"/>
      <c r="F958" s="158"/>
      <c r="G958" s="156"/>
      <c r="H958" s="156"/>
      <c r="I958" s="130"/>
      <c r="J958" s="130"/>
      <c r="K958" s="130"/>
    </row>
    <row r="959" ht="15.75" customHeight="1">
      <c r="A959" s="154"/>
      <c r="B959" s="154"/>
      <c r="C959" s="155"/>
      <c r="D959" s="156"/>
      <c r="E959" s="157"/>
      <c r="F959" s="158"/>
      <c r="G959" s="156"/>
      <c r="H959" s="156"/>
      <c r="I959" s="130"/>
      <c r="J959" s="130"/>
      <c r="K959" s="130"/>
    </row>
    <row r="960" ht="15.75" customHeight="1">
      <c r="A960" s="154"/>
      <c r="B960" s="154"/>
      <c r="C960" s="155"/>
      <c r="D960" s="156"/>
      <c r="E960" s="157"/>
      <c r="F960" s="158"/>
      <c r="G960" s="156"/>
      <c r="H960" s="156"/>
      <c r="I960" s="130"/>
      <c r="J960" s="130"/>
      <c r="K960" s="130"/>
    </row>
    <row r="961" ht="15.75" customHeight="1">
      <c r="A961" s="154"/>
      <c r="B961" s="154"/>
      <c r="C961" s="155"/>
      <c r="D961" s="156"/>
      <c r="E961" s="157"/>
      <c r="F961" s="158"/>
      <c r="G961" s="156"/>
      <c r="H961" s="156"/>
      <c r="I961" s="130"/>
      <c r="J961" s="130"/>
      <c r="K961" s="130"/>
    </row>
    <row r="962" ht="15.75" customHeight="1">
      <c r="A962" s="154"/>
      <c r="B962" s="154"/>
      <c r="C962" s="155"/>
      <c r="D962" s="156"/>
      <c r="E962" s="157"/>
      <c r="F962" s="158"/>
      <c r="G962" s="156"/>
      <c r="H962" s="156"/>
      <c r="I962" s="130"/>
      <c r="J962" s="130"/>
      <c r="K962" s="130"/>
    </row>
    <row r="963" ht="15.75" customHeight="1">
      <c r="A963" s="154"/>
      <c r="B963" s="154"/>
      <c r="C963" s="155"/>
      <c r="D963" s="156"/>
      <c r="E963" s="157"/>
      <c r="F963" s="158"/>
      <c r="G963" s="156"/>
      <c r="H963" s="156"/>
      <c r="I963" s="130"/>
      <c r="J963" s="130"/>
      <c r="K963" s="130"/>
    </row>
    <row r="964" ht="15.75" customHeight="1">
      <c r="A964" s="154"/>
      <c r="B964" s="154"/>
      <c r="C964" s="155"/>
      <c r="D964" s="156"/>
      <c r="E964" s="157"/>
      <c r="F964" s="158"/>
      <c r="G964" s="156"/>
      <c r="H964" s="156"/>
      <c r="I964" s="130"/>
      <c r="J964" s="130"/>
      <c r="K964" s="130"/>
    </row>
    <row r="965" ht="15.75" customHeight="1">
      <c r="A965" s="154"/>
      <c r="B965" s="154"/>
      <c r="C965" s="155"/>
      <c r="D965" s="156"/>
      <c r="E965" s="157"/>
      <c r="F965" s="158"/>
      <c r="G965" s="156"/>
      <c r="H965" s="156"/>
      <c r="I965" s="130"/>
      <c r="J965" s="130"/>
      <c r="K965" s="130"/>
    </row>
    <row r="966" ht="15.75" customHeight="1">
      <c r="A966" s="154"/>
      <c r="B966" s="154"/>
      <c r="C966" s="155"/>
      <c r="D966" s="156"/>
      <c r="E966" s="157"/>
      <c r="F966" s="158"/>
      <c r="G966" s="156"/>
      <c r="H966" s="156"/>
      <c r="I966" s="130"/>
      <c r="J966" s="130"/>
      <c r="K966" s="130"/>
    </row>
    <row r="967" ht="15.75" customHeight="1">
      <c r="A967" s="154"/>
      <c r="B967" s="154"/>
      <c r="C967" s="155"/>
      <c r="D967" s="156"/>
      <c r="E967" s="157"/>
      <c r="F967" s="158"/>
      <c r="G967" s="156"/>
      <c r="H967" s="156"/>
      <c r="I967" s="130"/>
      <c r="J967" s="130"/>
      <c r="K967" s="130"/>
    </row>
    <row r="968" ht="15.75" customHeight="1">
      <c r="A968" s="154"/>
      <c r="B968" s="154"/>
      <c r="C968" s="155"/>
      <c r="D968" s="156"/>
      <c r="E968" s="157"/>
      <c r="F968" s="158"/>
      <c r="G968" s="156"/>
      <c r="H968" s="156"/>
      <c r="I968" s="130"/>
      <c r="J968" s="130"/>
      <c r="K968" s="130"/>
    </row>
    <row r="969" ht="15.75" customHeight="1">
      <c r="A969" s="154"/>
      <c r="B969" s="154"/>
      <c r="C969" s="155"/>
      <c r="D969" s="156"/>
      <c r="E969" s="157"/>
      <c r="F969" s="158"/>
      <c r="G969" s="156"/>
      <c r="H969" s="156"/>
      <c r="I969" s="130"/>
      <c r="J969" s="130"/>
      <c r="K969" s="130"/>
    </row>
    <row r="970" ht="15.75" customHeight="1">
      <c r="A970" s="154"/>
      <c r="B970" s="154"/>
      <c r="C970" s="155"/>
      <c r="D970" s="156"/>
      <c r="E970" s="157"/>
      <c r="F970" s="158"/>
      <c r="G970" s="156"/>
      <c r="H970" s="156"/>
      <c r="I970" s="130"/>
      <c r="J970" s="130"/>
      <c r="K970" s="130"/>
    </row>
    <row r="971" ht="15.75" customHeight="1">
      <c r="A971" s="154"/>
      <c r="B971" s="154"/>
      <c r="C971" s="155"/>
      <c r="D971" s="156"/>
      <c r="E971" s="157"/>
      <c r="F971" s="158"/>
      <c r="G971" s="156"/>
      <c r="H971" s="156"/>
      <c r="I971" s="130"/>
      <c r="J971" s="130"/>
      <c r="K971" s="130"/>
    </row>
    <row r="972" ht="15.75" customHeight="1">
      <c r="A972" s="154"/>
      <c r="B972" s="154"/>
      <c r="C972" s="155"/>
      <c r="D972" s="156"/>
      <c r="E972" s="157"/>
      <c r="F972" s="158"/>
      <c r="G972" s="156"/>
      <c r="H972" s="156"/>
      <c r="I972" s="130"/>
      <c r="J972" s="130"/>
      <c r="K972" s="130"/>
    </row>
    <row r="973" ht="15.75" customHeight="1">
      <c r="A973" s="154"/>
      <c r="B973" s="154"/>
      <c r="C973" s="155"/>
      <c r="D973" s="156"/>
      <c r="E973" s="157"/>
      <c r="F973" s="158"/>
      <c r="G973" s="156"/>
      <c r="H973" s="156"/>
      <c r="I973" s="130"/>
      <c r="J973" s="130"/>
      <c r="K973" s="130"/>
    </row>
    <row r="974" ht="15.75" customHeight="1">
      <c r="A974" s="154"/>
      <c r="B974" s="154"/>
      <c r="C974" s="155"/>
      <c r="D974" s="156"/>
      <c r="E974" s="157"/>
      <c r="F974" s="158"/>
      <c r="G974" s="156"/>
      <c r="H974" s="156"/>
      <c r="I974" s="130"/>
      <c r="J974" s="130"/>
      <c r="K974" s="130"/>
    </row>
    <row r="975" ht="15.75" customHeight="1">
      <c r="A975" s="154"/>
      <c r="B975" s="154"/>
      <c r="C975" s="155"/>
      <c r="D975" s="156"/>
      <c r="E975" s="157"/>
      <c r="F975" s="158"/>
      <c r="G975" s="156"/>
      <c r="H975" s="156"/>
      <c r="I975" s="130"/>
      <c r="J975" s="130"/>
      <c r="K975" s="130"/>
    </row>
    <row r="976" ht="15.75" customHeight="1">
      <c r="A976" s="154"/>
      <c r="B976" s="154"/>
      <c r="C976" s="155"/>
      <c r="D976" s="156"/>
      <c r="E976" s="157"/>
      <c r="F976" s="158"/>
      <c r="G976" s="156"/>
      <c r="H976" s="156"/>
      <c r="I976" s="130"/>
      <c r="J976" s="130"/>
      <c r="K976" s="130"/>
    </row>
    <row r="977" ht="15.75" customHeight="1">
      <c r="A977" s="154"/>
      <c r="B977" s="154"/>
      <c r="C977" s="155"/>
      <c r="D977" s="156"/>
      <c r="E977" s="157"/>
      <c r="F977" s="158"/>
      <c r="G977" s="156"/>
      <c r="H977" s="156"/>
      <c r="I977" s="130"/>
      <c r="J977" s="130"/>
      <c r="K977" s="130"/>
    </row>
    <row r="978" ht="15.75" customHeight="1">
      <c r="A978" s="154"/>
      <c r="B978" s="154"/>
      <c r="C978" s="155"/>
      <c r="D978" s="156"/>
      <c r="E978" s="157"/>
      <c r="F978" s="158"/>
      <c r="G978" s="156"/>
      <c r="H978" s="156"/>
      <c r="I978" s="130"/>
      <c r="J978" s="130"/>
      <c r="K978" s="130"/>
    </row>
    <row r="979" ht="15.75" customHeight="1">
      <c r="A979" s="154"/>
      <c r="B979" s="154"/>
      <c r="C979" s="155"/>
      <c r="D979" s="156"/>
      <c r="E979" s="157"/>
      <c r="F979" s="158"/>
      <c r="G979" s="156"/>
      <c r="H979" s="156"/>
      <c r="I979" s="130"/>
      <c r="J979" s="130"/>
      <c r="K979" s="130"/>
    </row>
    <row r="980" ht="15.75" customHeight="1">
      <c r="A980" s="154"/>
      <c r="B980" s="154"/>
      <c r="C980" s="155"/>
      <c r="D980" s="156"/>
      <c r="E980" s="157"/>
      <c r="F980" s="158"/>
      <c r="G980" s="156"/>
      <c r="H980" s="156"/>
      <c r="I980" s="130"/>
      <c r="J980" s="130"/>
      <c r="K980" s="130"/>
    </row>
    <row r="981" ht="15.75" customHeight="1">
      <c r="A981" s="154"/>
      <c r="B981" s="154"/>
      <c r="C981" s="155"/>
      <c r="D981" s="156"/>
      <c r="E981" s="157"/>
      <c r="F981" s="158"/>
      <c r="G981" s="156"/>
      <c r="H981" s="156"/>
      <c r="I981" s="130"/>
      <c r="J981" s="130"/>
      <c r="K981" s="130"/>
    </row>
    <row r="982" ht="15.75" customHeight="1">
      <c r="A982" s="154"/>
      <c r="B982" s="154"/>
      <c r="C982" s="155"/>
      <c r="D982" s="156"/>
      <c r="E982" s="157"/>
      <c r="F982" s="158"/>
      <c r="G982" s="156"/>
      <c r="H982" s="156"/>
      <c r="I982" s="130"/>
      <c r="J982" s="130"/>
      <c r="K982" s="130"/>
    </row>
    <row r="983" ht="15.75" customHeight="1">
      <c r="A983" s="154"/>
      <c r="B983" s="154"/>
      <c r="C983" s="155"/>
      <c r="D983" s="156"/>
      <c r="E983" s="157"/>
      <c r="F983" s="158"/>
      <c r="G983" s="156"/>
      <c r="H983" s="156"/>
      <c r="I983" s="130"/>
      <c r="J983" s="130"/>
      <c r="K983" s="130"/>
    </row>
    <row r="984" ht="15.75" customHeight="1">
      <c r="A984" s="154"/>
      <c r="B984" s="154"/>
      <c r="C984" s="155"/>
      <c r="D984" s="156"/>
      <c r="E984" s="157"/>
      <c r="F984" s="158"/>
      <c r="G984" s="156"/>
      <c r="H984" s="156"/>
      <c r="I984" s="130"/>
      <c r="J984" s="130"/>
      <c r="K984" s="130"/>
    </row>
    <row r="985" ht="15.75" customHeight="1">
      <c r="A985" s="154"/>
      <c r="B985" s="154"/>
      <c r="C985" s="155"/>
      <c r="D985" s="156"/>
      <c r="E985" s="157"/>
      <c r="F985" s="158"/>
      <c r="G985" s="156"/>
      <c r="H985" s="156"/>
      <c r="I985" s="130"/>
      <c r="J985" s="130"/>
      <c r="K985" s="130"/>
    </row>
    <row r="986" ht="15.75" customHeight="1">
      <c r="A986" s="154"/>
      <c r="B986" s="154"/>
      <c r="C986" s="155"/>
      <c r="D986" s="156"/>
      <c r="E986" s="157"/>
      <c r="F986" s="158"/>
      <c r="G986" s="156"/>
      <c r="H986" s="156"/>
      <c r="I986" s="130"/>
      <c r="J986" s="130"/>
      <c r="K986" s="130"/>
    </row>
    <row r="987" ht="15.75" customHeight="1">
      <c r="A987" s="154"/>
      <c r="B987" s="154"/>
      <c r="C987" s="155"/>
      <c r="D987" s="156"/>
      <c r="E987" s="157"/>
      <c r="F987" s="158"/>
      <c r="G987" s="156"/>
      <c r="H987" s="156"/>
      <c r="I987" s="130"/>
      <c r="J987" s="130"/>
      <c r="K987" s="130"/>
    </row>
    <row r="988" ht="15.75" customHeight="1">
      <c r="A988" s="154"/>
      <c r="B988" s="154"/>
      <c r="C988" s="155"/>
      <c r="D988" s="156"/>
      <c r="E988" s="157"/>
      <c r="F988" s="158"/>
      <c r="G988" s="156"/>
      <c r="H988" s="156"/>
      <c r="I988" s="130"/>
      <c r="J988" s="130"/>
      <c r="K988" s="130"/>
    </row>
    <row r="989" ht="15.75" customHeight="1">
      <c r="A989" s="154"/>
      <c r="B989" s="154"/>
      <c r="C989" s="155"/>
      <c r="D989" s="156"/>
      <c r="E989" s="157"/>
      <c r="F989" s="158"/>
      <c r="G989" s="156"/>
      <c r="H989" s="156"/>
      <c r="I989" s="130"/>
      <c r="J989" s="130"/>
      <c r="K989" s="130"/>
    </row>
    <row r="990" ht="15.75" customHeight="1">
      <c r="A990" s="154"/>
      <c r="B990" s="154"/>
      <c r="C990" s="155"/>
      <c r="D990" s="156"/>
      <c r="E990" s="157"/>
      <c r="F990" s="158"/>
      <c r="G990" s="156"/>
      <c r="H990" s="156"/>
      <c r="I990" s="130"/>
      <c r="J990" s="130"/>
      <c r="K990" s="130"/>
    </row>
    <row r="991" ht="15.75" customHeight="1">
      <c r="A991" s="154"/>
      <c r="B991" s="154"/>
      <c r="C991" s="155"/>
      <c r="D991" s="156"/>
      <c r="E991" s="157"/>
      <c r="F991" s="158"/>
      <c r="G991" s="156"/>
      <c r="H991" s="156"/>
      <c r="I991" s="130"/>
      <c r="J991" s="130"/>
      <c r="K991" s="130"/>
    </row>
    <row r="992" ht="15.75" customHeight="1">
      <c r="A992" s="154"/>
      <c r="B992" s="154"/>
      <c r="C992" s="155"/>
      <c r="D992" s="156"/>
      <c r="E992" s="157"/>
      <c r="F992" s="158"/>
      <c r="G992" s="156"/>
      <c r="H992" s="156"/>
      <c r="I992" s="130"/>
      <c r="J992" s="130"/>
      <c r="K992" s="130"/>
    </row>
    <row r="993" ht="15.75" customHeight="1">
      <c r="A993" s="154"/>
      <c r="B993" s="154"/>
      <c r="C993" s="155"/>
      <c r="D993" s="156"/>
      <c r="E993" s="157"/>
      <c r="F993" s="158"/>
      <c r="G993" s="156"/>
      <c r="H993" s="156"/>
      <c r="I993" s="130"/>
      <c r="J993" s="130"/>
      <c r="K993" s="130"/>
    </row>
    <row r="994" ht="15.75" customHeight="1">
      <c r="A994" s="154"/>
      <c r="B994" s="154"/>
      <c r="C994" s="155"/>
      <c r="D994" s="156"/>
      <c r="E994" s="157"/>
      <c r="F994" s="158"/>
      <c r="G994" s="156"/>
      <c r="H994" s="156"/>
      <c r="I994" s="130"/>
      <c r="J994" s="130"/>
      <c r="K994" s="130"/>
    </row>
    <row r="995" ht="15.75" customHeight="1">
      <c r="A995" s="154"/>
      <c r="B995" s="154"/>
      <c r="C995" s="155"/>
      <c r="D995" s="156"/>
      <c r="E995" s="157"/>
      <c r="F995" s="158"/>
      <c r="G995" s="156"/>
      <c r="H995" s="156"/>
      <c r="I995" s="130"/>
      <c r="J995" s="130"/>
      <c r="K995" s="130"/>
    </row>
    <row r="996" ht="15.75" customHeight="1">
      <c r="A996" s="154"/>
      <c r="B996" s="154"/>
      <c r="C996" s="155"/>
      <c r="D996" s="156"/>
      <c r="E996" s="157"/>
      <c r="F996" s="158"/>
      <c r="G996" s="156"/>
      <c r="H996" s="156"/>
      <c r="I996" s="130"/>
      <c r="J996" s="130"/>
      <c r="K996" s="130"/>
    </row>
    <row r="997" ht="15.75" customHeight="1">
      <c r="A997" s="154"/>
      <c r="B997" s="154"/>
      <c r="C997" s="155"/>
      <c r="D997" s="156"/>
      <c r="E997" s="157"/>
      <c r="F997" s="158"/>
      <c r="G997" s="156"/>
      <c r="H997" s="156"/>
      <c r="I997" s="130"/>
      <c r="J997" s="130"/>
      <c r="K997" s="130"/>
    </row>
    <row r="998" ht="15.75" customHeight="1">
      <c r="A998" s="154"/>
      <c r="B998" s="154"/>
      <c r="C998" s="155"/>
      <c r="D998" s="156"/>
      <c r="E998" s="157"/>
      <c r="F998" s="158"/>
      <c r="G998" s="156"/>
      <c r="H998" s="156"/>
      <c r="I998" s="130"/>
      <c r="J998" s="130"/>
      <c r="K998" s="130"/>
    </row>
    <row r="999" ht="15.75" customHeight="1">
      <c r="A999" s="154"/>
      <c r="B999" s="154"/>
      <c r="C999" s="155"/>
      <c r="D999" s="156"/>
      <c r="E999" s="157"/>
      <c r="F999" s="158"/>
      <c r="G999" s="156"/>
      <c r="H999" s="156"/>
      <c r="I999" s="130"/>
      <c r="J999" s="130"/>
      <c r="K999" s="130"/>
    </row>
    <row r="1000" ht="15.75" customHeight="1">
      <c r="A1000" s="154"/>
      <c r="B1000" s="154"/>
      <c r="C1000" s="155"/>
      <c r="D1000" s="156"/>
      <c r="E1000" s="157"/>
      <c r="F1000" s="158"/>
      <c r="G1000" s="156"/>
      <c r="H1000" s="156"/>
      <c r="I1000" s="130"/>
      <c r="J1000" s="130"/>
      <c r="K1000" s="130"/>
    </row>
    <row r="1001" ht="15.75" customHeight="1">
      <c r="A1001" s="154"/>
      <c r="B1001" s="154"/>
      <c r="C1001" s="155"/>
      <c r="D1001" s="156"/>
      <c r="E1001" s="157"/>
      <c r="F1001" s="158"/>
      <c r="G1001" s="156"/>
      <c r="H1001" s="156"/>
      <c r="I1001" s="130"/>
      <c r="J1001" s="130"/>
      <c r="K1001" s="130"/>
    </row>
    <row r="1002" ht="15.75" customHeight="1">
      <c r="A1002" s="154"/>
      <c r="B1002" s="154"/>
      <c r="C1002" s="155"/>
      <c r="D1002" s="156"/>
      <c r="E1002" s="157"/>
      <c r="F1002" s="158"/>
      <c r="G1002" s="156"/>
      <c r="H1002" s="156"/>
      <c r="I1002" s="130"/>
      <c r="J1002" s="130"/>
      <c r="K1002" s="130"/>
    </row>
    <row r="1003" ht="15.75" customHeight="1">
      <c r="A1003" s="154"/>
      <c r="B1003" s="154"/>
      <c r="C1003" s="155"/>
      <c r="D1003" s="156"/>
      <c r="E1003" s="157"/>
      <c r="F1003" s="158"/>
      <c r="G1003" s="156"/>
      <c r="H1003" s="156"/>
      <c r="I1003" s="130"/>
      <c r="J1003" s="130"/>
      <c r="K1003" s="130"/>
    </row>
    <row r="1004" ht="15.75" customHeight="1">
      <c r="A1004" s="154"/>
      <c r="B1004" s="154"/>
      <c r="C1004" s="155"/>
      <c r="D1004" s="156"/>
      <c r="E1004" s="157"/>
      <c r="F1004" s="158"/>
      <c r="G1004" s="156"/>
      <c r="H1004" s="156"/>
      <c r="I1004" s="130"/>
      <c r="J1004" s="130"/>
      <c r="K1004" s="130"/>
    </row>
    <row r="1005" ht="15.75" customHeight="1">
      <c r="A1005" s="154"/>
      <c r="B1005" s="154"/>
      <c r="C1005" s="155"/>
      <c r="D1005" s="156"/>
      <c r="E1005" s="157"/>
      <c r="F1005" s="158"/>
      <c r="G1005" s="156"/>
      <c r="H1005" s="156"/>
      <c r="I1005" s="130"/>
      <c r="J1005" s="130"/>
      <c r="K1005" s="130"/>
    </row>
    <row r="1006" ht="15.75" customHeight="1">
      <c r="A1006" s="154"/>
      <c r="B1006" s="154"/>
      <c r="C1006" s="155"/>
      <c r="D1006" s="156"/>
      <c r="E1006" s="157"/>
      <c r="F1006" s="158"/>
      <c r="G1006" s="156"/>
      <c r="H1006" s="156"/>
      <c r="I1006" s="130"/>
      <c r="J1006" s="130"/>
      <c r="K1006" s="130"/>
    </row>
    <row r="1007" ht="15.75" customHeight="1">
      <c r="A1007" s="154"/>
      <c r="B1007" s="154"/>
      <c r="C1007" s="155"/>
      <c r="D1007" s="156"/>
      <c r="E1007" s="157"/>
      <c r="F1007" s="158"/>
      <c r="G1007" s="156"/>
      <c r="H1007" s="156"/>
      <c r="I1007" s="130"/>
      <c r="J1007" s="130"/>
      <c r="K1007" s="130"/>
    </row>
    <row r="1008" ht="15.75" customHeight="1">
      <c r="A1008" s="154"/>
      <c r="B1008" s="154"/>
      <c r="C1008" s="155"/>
      <c r="D1008" s="156"/>
      <c r="E1008" s="157"/>
      <c r="F1008" s="158"/>
      <c r="G1008" s="156"/>
      <c r="H1008" s="156"/>
      <c r="I1008" s="130"/>
      <c r="J1008" s="130"/>
      <c r="K1008" s="130"/>
    </row>
    <row r="1009" ht="15.75" customHeight="1">
      <c r="A1009" s="154"/>
      <c r="B1009" s="154"/>
      <c r="C1009" s="155"/>
      <c r="D1009" s="156"/>
      <c r="E1009" s="157"/>
      <c r="F1009" s="158"/>
      <c r="G1009" s="156"/>
      <c r="H1009" s="156"/>
      <c r="I1009" s="130"/>
      <c r="J1009" s="130"/>
      <c r="K1009" s="130"/>
    </row>
    <row r="1010" ht="15.75" customHeight="1">
      <c r="A1010" s="154"/>
      <c r="B1010" s="154"/>
      <c r="C1010" s="155"/>
      <c r="D1010" s="156"/>
      <c r="E1010" s="157"/>
      <c r="F1010" s="158"/>
      <c r="G1010" s="156"/>
      <c r="H1010" s="156"/>
      <c r="I1010" s="130"/>
      <c r="J1010" s="130"/>
      <c r="K1010" s="130"/>
    </row>
    <row r="1011" ht="15.75" customHeight="1">
      <c r="A1011" s="154"/>
      <c r="B1011" s="154"/>
      <c r="C1011" s="155"/>
      <c r="D1011" s="156"/>
      <c r="E1011" s="157"/>
      <c r="F1011" s="158"/>
      <c r="G1011" s="156"/>
      <c r="H1011" s="156"/>
      <c r="I1011" s="130"/>
      <c r="J1011" s="130"/>
      <c r="K1011" s="130"/>
    </row>
    <row r="1012" ht="15.75" customHeight="1">
      <c r="A1012" s="154"/>
      <c r="B1012" s="154"/>
      <c r="C1012" s="155"/>
      <c r="D1012" s="156"/>
      <c r="E1012" s="157"/>
      <c r="F1012" s="158"/>
      <c r="G1012" s="156"/>
      <c r="H1012" s="156"/>
      <c r="I1012" s="130"/>
      <c r="J1012" s="130"/>
      <c r="K1012" s="130"/>
    </row>
    <row r="1013" ht="15.75" customHeight="1">
      <c r="A1013" s="154"/>
      <c r="B1013" s="154"/>
      <c r="C1013" s="155"/>
      <c r="D1013" s="156"/>
      <c r="E1013" s="157"/>
      <c r="F1013" s="158"/>
      <c r="G1013" s="156"/>
      <c r="H1013" s="156"/>
      <c r="I1013" s="130"/>
      <c r="J1013" s="130"/>
      <c r="K1013" s="130"/>
    </row>
    <row r="1014" ht="15.75" customHeight="1">
      <c r="A1014" s="154"/>
      <c r="B1014" s="154"/>
      <c r="C1014" s="155"/>
      <c r="D1014" s="156"/>
      <c r="E1014" s="157"/>
      <c r="F1014" s="158"/>
      <c r="G1014" s="156"/>
      <c r="H1014" s="156"/>
      <c r="I1014" s="130"/>
      <c r="J1014" s="130"/>
      <c r="K1014" s="130"/>
    </row>
    <row r="1015" ht="15.75" customHeight="1">
      <c r="A1015" s="154"/>
      <c r="B1015" s="154"/>
      <c r="C1015" s="155"/>
      <c r="D1015" s="156"/>
      <c r="E1015" s="157"/>
      <c r="F1015" s="158"/>
      <c r="G1015" s="156"/>
      <c r="H1015" s="156"/>
      <c r="I1015" s="130"/>
      <c r="J1015" s="130"/>
      <c r="K1015" s="130"/>
    </row>
    <row r="1016" ht="15.75" customHeight="1">
      <c r="A1016" s="154"/>
      <c r="B1016" s="154"/>
      <c r="C1016" s="155"/>
      <c r="D1016" s="156"/>
      <c r="E1016" s="157"/>
      <c r="F1016" s="158"/>
      <c r="G1016" s="156"/>
      <c r="H1016" s="156"/>
      <c r="I1016" s="130"/>
      <c r="J1016" s="130"/>
      <c r="K1016" s="130"/>
    </row>
    <row r="1017" ht="15.75" customHeight="1">
      <c r="A1017" s="154"/>
      <c r="B1017" s="154"/>
      <c r="C1017" s="155"/>
      <c r="D1017" s="156"/>
      <c r="E1017" s="157"/>
      <c r="F1017" s="158"/>
      <c r="G1017" s="156"/>
      <c r="H1017" s="156"/>
      <c r="I1017" s="130"/>
      <c r="J1017" s="130"/>
      <c r="K1017" s="130"/>
    </row>
    <row r="1018" ht="15.75" customHeight="1">
      <c r="A1018" s="154"/>
      <c r="B1018" s="154"/>
      <c r="C1018" s="155"/>
      <c r="D1018" s="156"/>
      <c r="E1018" s="157"/>
      <c r="F1018" s="158"/>
      <c r="G1018" s="156"/>
      <c r="H1018" s="156"/>
      <c r="I1018" s="130"/>
      <c r="J1018" s="130"/>
      <c r="K1018" s="130"/>
    </row>
    <row r="1019" ht="15.75" customHeight="1">
      <c r="A1019" s="154"/>
      <c r="B1019" s="154"/>
      <c r="C1019" s="155"/>
      <c r="D1019" s="156"/>
      <c r="E1019" s="157"/>
      <c r="F1019" s="158"/>
      <c r="G1019" s="156"/>
      <c r="H1019" s="156"/>
      <c r="I1019" s="130"/>
      <c r="J1019" s="130"/>
      <c r="K1019" s="130"/>
    </row>
    <row r="1020" ht="15.75" customHeight="1">
      <c r="A1020" s="154"/>
      <c r="B1020" s="154"/>
      <c r="C1020" s="155"/>
      <c r="D1020" s="156"/>
      <c r="E1020" s="157"/>
      <c r="F1020" s="158"/>
      <c r="G1020" s="156"/>
      <c r="H1020" s="156"/>
      <c r="I1020" s="130"/>
      <c r="J1020" s="130"/>
      <c r="K1020" s="130"/>
    </row>
    <row r="1021" ht="15.75" customHeight="1">
      <c r="A1021" s="154"/>
      <c r="B1021" s="154"/>
      <c r="C1021" s="155"/>
      <c r="D1021" s="156"/>
      <c r="E1021" s="157"/>
      <c r="F1021" s="158"/>
      <c r="G1021" s="156"/>
      <c r="H1021" s="156"/>
      <c r="I1021" s="130"/>
      <c r="J1021" s="130"/>
      <c r="K1021" s="130"/>
    </row>
    <row r="1022" ht="15.75" customHeight="1">
      <c r="A1022" s="154"/>
      <c r="B1022" s="154"/>
      <c r="C1022" s="155"/>
      <c r="D1022" s="156"/>
      <c r="E1022" s="157"/>
      <c r="F1022" s="158"/>
      <c r="G1022" s="156"/>
      <c r="H1022" s="156"/>
      <c r="I1022" s="130"/>
      <c r="J1022" s="130"/>
      <c r="K1022" s="130"/>
    </row>
    <row r="1023" ht="15.75" customHeight="1">
      <c r="A1023" s="154"/>
      <c r="B1023" s="154"/>
      <c r="C1023" s="155"/>
      <c r="D1023" s="156"/>
      <c r="E1023" s="157"/>
      <c r="F1023" s="158"/>
      <c r="G1023" s="156"/>
      <c r="H1023" s="156"/>
      <c r="I1023" s="130"/>
      <c r="J1023" s="130"/>
      <c r="K1023" s="130"/>
    </row>
    <row r="1024" ht="15.75" customHeight="1">
      <c r="A1024" s="154"/>
      <c r="B1024" s="154"/>
      <c r="C1024" s="155"/>
      <c r="D1024" s="156"/>
      <c r="E1024" s="157"/>
      <c r="F1024" s="158"/>
      <c r="G1024" s="156"/>
      <c r="H1024" s="156"/>
      <c r="I1024" s="130"/>
      <c r="J1024" s="130"/>
      <c r="K1024" s="130"/>
    </row>
    <row r="1025" ht="15.75" customHeight="1">
      <c r="A1025" s="154"/>
      <c r="B1025" s="154"/>
      <c r="C1025" s="155"/>
      <c r="D1025" s="156"/>
      <c r="E1025" s="157"/>
      <c r="F1025" s="158"/>
      <c r="G1025" s="156"/>
      <c r="H1025" s="156"/>
      <c r="I1025" s="130"/>
      <c r="J1025" s="130"/>
      <c r="K1025" s="130"/>
    </row>
    <row r="1026" ht="15.75" customHeight="1">
      <c r="A1026" s="154"/>
      <c r="B1026" s="154"/>
      <c r="C1026" s="155"/>
      <c r="D1026" s="156"/>
      <c r="E1026" s="157"/>
      <c r="F1026" s="158"/>
      <c r="G1026" s="156"/>
      <c r="H1026" s="156"/>
      <c r="I1026" s="130"/>
      <c r="J1026" s="130"/>
      <c r="K1026" s="130"/>
    </row>
    <row r="1027" ht="15.75" customHeight="1">
      <c r="A1027" s="154"/>
      <c r="B1027" s="154"/>
      <c r="C1027" s="155"/>
      <c r="D1027" s="156"/>
      <c r="E1027" s="157"/>
      <c r="F1027" s="158"/>
      <c r="G1027" s="156"/>
      <c r="H1027" s="156"/>
      <c r="I1027" s="130"/>
      <c r="J1027" s="130"/>
      <c r="K1027" s="130"/>
    </row>
    <row r="1028" ht="15.75" customHeight="1">
      <c r="A1028" s="154"/>
      <c r="B1028" s="154"/>
      <c r="C1028" s="155"/>
      <c r="D1028" s="156"/>
      <c r="E1028" s="157"/>
      <c r="F1028" s="158"/>
      <c r="G1028" s="156"/>
      <c r="H1028" s="156"/>
      <c r="I1028" s="130"/>
      <c r="J1028" s="130"/>
      <c r="K1028" s="130"/>
    </row>
    <row r="1029" ht="15.75" customHeight="1">
      <c r="A1029" s="154"/>
      <c r="B1029" s="154"/>
      <c r="C1029" s="155"/>
      <c r="D1029" s="156"/>
      <c r="E1029" s="157"/>
      <c r="F1029" s="158"/>
      <c r="G1029" s="156"/>
      <c r="H1029" s="156"/>
      <c r="I1029" s="130"/>
      <c r="J1029" s="130"/>
      <c r="K1029" s="130"/>
    </row>
    <row r="1030" ht="15.75" customHeight="1">
      <c r="A1030" s="154"/>
      <c r="B1030" s="154"/>
      <c r="C1030" s="155"/>
      <c r="D1030" s="156"/>
      <c r="E1030" s="157"/>
      <c r="F1030" s="158"/>
      <c r="G1030" s="156"/>
      <c r="H1030" s="156"/>
      <c r="I1030" s="130"/>
      <c r="J1030" s="130"/>
      <c r="K1030" s="130"/>
    </row>
    <row r="1031" ht="15.75" customHeight="1">
      <c r="A1031" s="154"/>
      <c r="B1031" s="154"/>
      <c r="C1031" s="155"/>
      <c r="D1031" s="156"/>
      <c r="E1031" s="157"/>
      <c r="F1031" s="158"/>
      <c r="G1031" s="156"/>
      <c r="H1031" s="156"/>
      <c r="I1031" s="130"/>
      <c r="J1031" s="130"/>
      <c r="K1031" s="130"/>
    </row>
    <row r="1032" ht="15.75" customHeight="1">
      <c r="A1032" s="154"/>
      <c r="B1032" s="154"/>
      <c r="C1032" s="155"/>
      <c r="D1032" s="156"/>
      <c r="E1032" s="157"/>
      <c r="F1032" s="158"/>
      <c r="G1032" s="156"/>
      <c r="H1032" s="156"/>
      <c r="I1032" s="130"/>
      <c r="J1032" s="130"/>
      <c r="K1032" s="130"/>
    </row>
    <row r="1033" ht="15.75" customHeight="1">
      <c r="A1033" s="154"/>
      <c r="B1033" s="154"/>
      <c r="C1033" s="155"/>
      <c r="D1033" s="156"/>
      <c r="E1033" s="157"/>
      <c r="F1033" s="158"/>
      <c r="G1033" s="156"/>
      <c r="H1033" s="156"/>
      <c r="I1033" s="130"/>
      <c r="J1033" s="130"/>
      <c r="K1033" s="130"/>
    </row>
    <row r="1034" ht="15.75" customHeight="1">
      <c r="A1034" s="154"/>
      <c r="B1034" s="154"/>
      <c r="C1034" s="155"/>
      <c r="D1034" s="156"/>
      <c r="E1034" s="157"/>
      <c r="F1034" s="158"/>
      <c r="G1034" s="156"/>
      <c r="H1034" s="156"/>
      <c r="I1034" s="130"/>
      <c r="J1034" s="130"/>
      <c r="K1034" s="130"/>
    </row>
    <row r="1035" ht="15.75" customHeight="1">
      <c r="A1035" s="154"/>
      <c r="B1035" s="154"/>
      <c r="C1035" s="155"/>
      <c r="D1035" s="156"/>
      <c r="E1035" s="157"/>
      <c r="F1035" s="158"/>
      <c r="G1035" s="156"/>
      <c r="H1035" s="156"/>
      <c r="I1035" s="130"/>
      <c r="J1035" s="130"/>
      <c r="K1035" s="130"/>
    </row>
    <row r="1036" ht="15.75" customHeight="1">
      <c r="A1036" s="154"/>
      <c r="B1036" s="154"/>
      <c r="C1036" s="155"/>
      <c r="D1036" s="156"/>
      <c r="E1036" s="157"/>
      <c r="F1036" s="158"/>
      <c r="G1036" s="156"/>
      <c r="H1036" s="156"/>
      <c r="I1036" s="130"/>
      <c r="J1036" s="130"/>
      <c r="K1036" s="130"/>
    </row>
    <row r="1037" ht="15.75" customHeight="1">
      <c r="A1037" s="154"/>
      <c r="B1037" s="154"/>
      <c r="C1037" s="155"/>
      <c r="D1037" s="156"/>
      <c r="E1037" s="157"/>
      <c r="F1037" s="158"/>
      <c r="G1037" s="156"/>
      <c r="H1037" s="156"/>
      <c r="I1037" s="130"/>
      <c r="J1037" s="130"/>
      <c r="K1037" s="130"/>
    </row>
    <row r="1038" ht="15.75" customHeight="1">
      <c r="A1038" s="154"/>
      <c r="B1038" s="154"/>
      <c r="C1038" s="155"/>
      <c r="D1038" s="156"/>
      <c r="E1038" s="157"/>
      <c r="F1038" s="158"/>
      <c r="G1038" s="156"/>
      <c r="H1038" s="156"/>
      <c r="I1038" s="130"/>
      <c r="J1038" s="130"/>
      <c r="K1038" s="130"/>
    </row>
    <row r="1039" ht="15.75" customHeight="1">
      <c r="A1039" s="154"/>
      <c r="B1039" s="154"/>
      <c r="C1039" s="155"/>
      <c r="D1039" s="156"/>
      <c r="E1039" s="157"/>
      <c r="F1039" s="158"/>
      <c r="G1039" s="156"/>
      <c r="H1039" s="156"/>
      <c r="I1039" s="130"/>
      <c r="J1039" s="130"/>
      <c r="K1039" s="130"/>
    </row>
    <row r="1040" ht="15.75" customHeight="1">
      <c r="A1040" s="154"/>
      <c r="B1040" s="154"/>
      <c r="C1040" s="155"/>
      <c r="D1040" s="156"/>
      <c r="E1040" s="157"/>
      <c r="F1040" s="158"/>
      <c r="G1040" s="156"/>
      <c r="H1040" s="156"/>
      <c r="I1040" s="130"/>
      <c r="J1040" s="130"/>
      <c r="K1040" s="130"/>
    </row>
    <row r="1041" ht="15.75" customHeight="1">
      <c r="A1041" s="154"/>
      <c r="B1041" s="154"/>
      <c r="C1041" s="155"/>
      <c r="D1041" s="156"/>
      <c r="E1041" s="157"/>
      <c r="F1041" s="158"/>
      <c r="G1041" s="156"/>
      <c r="H1041" s="156"/>
      <c r="I1041" s="130"/>
      <c r="J1041" s="130"/>
      <c r="K1041" s="130"/>
    </row>
    <row r="1042" ht="15.75" customHeight="1">
      <c r="A1042" s="154"/>
      <c r="B1042" s="154"/>
      <c r="C1042" s="155"/>
      <c r="D1042" s="156"/>
      <c r="E1042" s="157"/>
      <c r="F1042" s="158"/>
      <c r="G1042" s="156"/>
      <c r="H1042" s="156"/>
      <c r="I1042" s="130"/>
      <c r="J1042" s="130"/>
      <c r="K1042" s="130"/>
    </row>
    <row r="1043" ht="15.75" customHeight="1">
      <c r="A1043" s="154"/>
      <c r="B1043" s="154"/>
      <c r="C1043" s="155"/>
      <c r="D1043" s="156"/>
      <c r="E1043" s="157"/>
      <c r="F1043" s="158"/>
      <c r="G1043" s="156"/>
      <c r="H1043" s="156"/>
      <c r="I1043" s="130"/>
      <c r="J1043" s="130"/>
      <c r="K1043" s="130"/>
    </row>
    <row r="1044" ht="15.75" customHeight="1">
      <c r="A1044" s="154"/>
      <c r="B1044" s="154"/>
      <c r="C1044" s="155"/>
      <c r="D1044" s="156"/>
      <c r="E1044" s="157"/>
      <c r="F1044" s="158"/>
      <c r="G1044" s="156"/>
      <c r="H1044" s="156"/>
      <c r="I1044" s="130"/>
      <c r="J1044" s="130"/>
      <c r="K1044" s="130"/>
    </row>
    <row r="1045" ht="15.75" customHeight="1">
      <c r="A1045" s="154"/>
      <c r="B1045" s="154"/>
      <c r="C1045" s="155"/>
      <c r="D1045" s="156"/>
      <c r="E1045" s="157"/>
      <c r="F1045" s="158"/>
      <c r="G1045" s="156"/>
      <c r="H1045" s="156"/>
      <c r="I1045" s="130"/>
      <c r="J1045" s="130"/>
      <c r="K1045" s="130"/>
    </row>
    <row r="1046" ht="15.75" customHeight="1">
      <c r="A1046" s="154"/>
      <c r="B1046" s="154"/>
      <c r="C1046" s="155"/>
      <c r="D1046" s="156"/>
      <c r="E1046" s="157"/>
      <c r="F1046" s="158"/>
      <c r="G1046" s="156"/>
      <c r="H1046" s="156"/>
      <c r="I1046" s="130"/>
      <c r="J1046" s="130"/>
      <c r="K1046" s="130"/>
    </row>
    <row r="1047" ht="15.75" customHeight="1">
      <c r="A1047" s="154"/>
      <c r="B1047" s="154"/>
      <c r="C1047" s="155"/>
      <c r="D1047" s="156"/>
      <c r="E1047" s="157"/>
      <c r="F1047" s="158"/>
      <c r="G1047" s="156"/>
      <c r="H1047" s="156"/>
      <c r="I1047" s="130"/>
      <c r="J1047" s="130"/>
      <c r="K1047" s="130"/>
    </row>
    <row r="1048" ht="15.75" customHeight="1">
      <c r="A1048" s="154"/>
      <c r="B1048" s="154"/>
      <c r="C1048" s="155"/>
      <c r="D1048" s="156"/>
      <c r="E1048" s="157"/>
      <c r="F1048" s="158"/>
      <c r="G1048" s="156"/>
      <c r="H1048" s="156"/>
      <c r="I1048" s="130"/>
      <c r="J1048" s="130"/>
      <c r="K1048" s="130"/>
    </row>
    <row r="1049" ht="15.75" customHeight="1">
      <c r="A1049" s="154"/>
      <c r="B1049" s="154"/>
      <c r="C1049" s="155"/>
      <c r="D1049" s="156"/>
      <c r="E1049" s="157"/>
      <c r="F1049" s="158"/>
      <c r="G1049" s="156"/>
      <c r="H1049" s="156"/>
      <c r="I1049" s="130"/>
      <c r="J1049" s="130"/>
      <c r="K1049" s="130"/>
    </row>
    <row r="1050" ht="15.75" customHeight="1">
      <c r="A1050" s="154"/>
      <c r="B1050" s="154"/>
      <c r="C1050" s="155"/>
      <c r="D1050" s="156"/>
      <c r="E1050" s="157"/>
      <c r="F1050" s="158"/>
      <c r="G1050" s="156"/>
      <c r="H1050" s="156"/>
      <c r="I1050" s="130"/>
      <c r="J1050" s="130"/>
      <c r="K1050" s="130"/>
    </row>
    <row r="1051" ht="15.75" customHeight="1">
      <c r="A1051" s="154"/>
      <c r="B1051" s="154"/>
      <c r="C1051" s="155"/>
      <c r="D1051" s="156"/>
      <c r="E1051" s="157"/>
      <c r="F1051" s="158"/>
      <c r="G1051" s="156"/>
      <c r="H1051" s="156"/>
      <c r="I1051" s="130"/>
      <c r="J1051" s="130"/>
      <c r="K1051" s="130"/>
    </row>
    <row r="1052" ht="15.75" customHeight="1">
      <c r="A1052" s="154"/>
      <c r="B1052" s="154"/>
      <c r="C1052" s="155"/>
      <c r="D1052" s="156"/>
      <c r="E1052" s="157"/>
      <c r="F1052" s="158"/>
      <c r="G1052" s="156"/>
      <c r="H1052" s="156"/>
      <c r="I1052" s="130"/>
      <c r="J1052" s="130"/>
      <c r="K1052" s="130"/>
    </row>
    <row r="1053" ht="15.75" customHeight="1">
      <c r="A1053" s="154"/>
      <c r="B1053" s="154"/>
      <c r="C1053" s="155"/>
      <c r="D1053" s="156"/>
      <c r="E1053" s="157"/>
      <c r="F1053" s="158"/>
      <c r="G1053" s="156"/>
      <c r="H1053" s="156"/>
      <c r="I1053" s="130"/>
      <c r="J1053" s="130"/>
      <c r="K1053" s="130"/>
    </row>
    <row r="1054" ht="15.75" customHeight="1">
      <c r="A1054" s="154"/>
      <c r="B1054" s="154"/>
      <c r="C1054" s="155"/>
      <c r="D1054" s="156"/>
      <c r="E1054" s="157"/>
      <c r="F1054" s="158"/>
      <c r="G1054" s="156"/>
      <c r="H1054" s="156"/>
      <c r="I1054" s="130"/>
      <c r="J1054" s="130"/>
      <c r="K1054" s="130"/>
    </row>
    <row r="1055" ht="15.75" customHeight="1">
      <c r="A1055" s="154"/>
      <c r="B1055" s="154"/>
      <c r="C1055" s="155"/>
      <c r="D1055" s="156"/>
      <c r="E1055" s="157"/>
      <c r="F1055" s="158"/>
      <c r="G1055" s="156"/>
      <c r="H1055" s="156"/>
      <c r="I1055" s="130"/>
      <c r="J1055" s="130"/>
      <c r="K1055" s="130"/>
    </row>
    <row r="1056" ht="15.75" customHeight="1">
      <c r="A1056" s="154"/>
      <c r="B1056" s="154"/>
      <c r="C1056" s="155"/>
      <c r="D1056" s="156"/>
      <c r="E1056" s="157"/>
      <c r="F1056" s="158"/>
      <c r="G1056" s="156"/>
      <c r="H1056" s="156"/>
      <c r="I1056" s="130"/>
      <c r="J1056" s="130"/>
      <c r="K1056" s="130"/>
    </row>
    <row r="1057" ht="15.75" customHeight="1">
      <c r="A1057" s="154"/>
      <c r="B1057" s="154"/>
      <c r="C1057" s="155"/>
      <c r="D1057" s="156"/>
      <c r="E1057" s="157"/>
      <c r="F1057" s="158"/>
      <c r="G1057" s="156"/>
      <c r="H1057" s="156"/>
      <c r="I1057" s="130"/>
      <c r="J1057" s="130"/>
      <c r="K1057" s="130"/>
    </row>
    <row r="1058" ht="15.75" customHeight="1">
      <c r="A1058" s="154"/>
      <c r="B1058" s="154"/>
      <c r="C1058" s="155"/>
      <c r="D1058" s="156"/>
      <c r="E1058" s="157"/>
      <c r="F1058" s="158"/>
      <c r="G1058" s="156"/>
      <c r="H1058" s="156"/>
      <c r="I1058" s="130"/>
      <c r="J1058" s="130"/>
      <c r="K1058" s="130"/>
    </row>
    <row r="1059" ht="15.75" customHeight="1">
      <c r="A1059" s="154"/>
      <c r="B1059" s="154"/>
      <c r="C1059" s="155"/>
      <c r="D1059" s="156"/>
      <c r="E1059" s="157"/>
      <c r="F1059" s="158"/>
      <c r="G1059" s="156"/>
      <c r="H1059" s="156"/>
      <c r="I1059" s="130"/>
      <c r="J1059" s="130"/>
      <c r="K1059" s="130"/>
    </row>
    <row r="1060" ht="15.75" customHeight="1">
      <c r="A1060" s="154"/>
      <c r="B1060" s="154"/>
      <c r="C1060" s="155"/>
      <c r="D1060" s="156"/>
      <c r="E1060" s="157"/>
      <c r="F1060" s="158"/>
      <c r="G1060" s="156"/>
      <c r="H1060" s="156"/>
      <c r="I1060" s="130"/>
      <c r="J1060" s="130"/>
      <c r="K1060" s="130"/>
    </row>
    <row r="1061" ht="15.75" customHeight="1">
      <c r="A1061" s="154"/>
      <c r="B1061" s="154"/>
      <c r="C1061" s="155"/>
      <c r="D1061" s="156"/>
      <c r="E1061" s="157"/>
      <c r="F1061" s="158"/>
      <c r="G1061" s="156"/>
      <c r="H1061" s="156"/>
      <c r="I1061" s="130"/>
      <c r="J1061" s="130"/>
      <c r="K1061" s="130"/>
    </row>
    <row r="1062" ht="15.75" customHeight="1">
      <c r="A1062" s="154"/>
      <c r="B1062" s="154"/>
      <c r="C1062" s="155"/>
      <c r="D1062" s="156"/>
      <c r="E1062" s="157"/>
      <c r="F1062" s="158"/>
      <c r="G1062" s="156"/>
      <c r="H1062" s="156"/>
      <c r="I1062" s="130"/>
      <c r="J1062" s="130"/>
      <c r="K1062" s="130"/>
    </row>
    <row r="1063" ht="15.75" customHeight="1">
      <c r="A1063" s="154"/>
      <c r="B1063" s="154"/>
      <c r="C1063" s="155"/>
      <c r="D1063" s="156"/>
      <c r="E1063" s="157"/>
      <c r="F1063" s="158"/>
      <c r="G1063" s="156"/>
      <c r="H1063" s="156"/>
      <c r="I1063" s="130"/>
      <c r="J1063" s="130"/>
      <c r="K1063" s="130"/>
    </row>
    <row r="1064" ht="15.75" customHeight="1">
      <c r="A1064" s="154"/>
      <c r="B1064" s="154"/>
      <c r="C1064" s="155"/>
      <c r="D1064" s="156"/>
      <c r="E1064" s="157"/>
      <c r="F1064" s="158"/>
      <c r="G1064" s="156"/>
      <c r="H1064" s="156"/>
      <c r="I1064" s="130"/>
      <c r="J1064" s="130"/>
      <c r="K1064" s="130"/>
    </row>
    <row r="1065" ht="15.75" customHeight="1">
      <c r="A1065" s="154"/>
      <c r="B1065" s="154"/>
      <c r="C1065" s="155"/>
      <c r="D1065" s="156"/>
      <c r="E1065" s="157"/>
      <c r="F1065" s="158"/>
      <c r="G1065" s="156"/>
      <c r="H1065" s="156"/>
      <c r="I1065" s="130"/>
      <c r="J1065" s="130"/>
      <c r="K1065" s="130"/>
    </row>
    <row r="1066" ht="15.75" customHeight="1">
      <c r="A1066" s="154"/>
      <c r="B1066" s="154"/>
      <c r="C1066" s="155"/>
      <c r="D1066" s="156"/>
      <c r="E1066" s="157"/>
      <c r="F1066" s="158"/>
      <c r="G1066" s="156"/>
      <c r="H1066" s="156"/>
      <c r="I1066" s="130"/>
      <c r="J1066" s="130"/>
      <c r="K1066" s="130"/>
    </row>
    <row r="1067" ht="15.75" customHeight="1">
      <c r="A1067" s="154"/>
      <c r="B1067" s="154"/>
      <c r="C1067" s="155"/>
      <c r="D1067" s="156"/>
      <c r="E1067" s="157"/>
      <c r="F1067" s="158"/>
      <c r="G1067" s="156"/>
      <c r="H1067" s="156"/>
      <c r="I1067" s="130"/>
      <c r="J1067" s="130"/>
      <c r="K1067" s="130"/>
    </row>
    <row r="1068" ht="15.75" customHeight="1">
      <c r="A1068" s="154"/>
      <c r="B1068" s="154"/>
      <c r="C1068" s="155"/>
      <c r="D1068" s="156"/>
      <c r="E1068" s="157"/>
      <c r="F1068" s="158"/>
      <c r="G1068" s="156"/>
      <c r="H1068" s="156"/>
      <c r="I1068" s="130"/>
      <c r="J1068" s="130"/>
      <c r="K1068" s="130"/>
    </row>
    <row r="1069" ht="15.75" customHeight="1">
      <c r="A1069" s="154"/>
      <c r="B1069" s="154"/>
      <c r="C1069" s="155"/>
      <c r="D1069" s="156"/>
      <c r="E1069" s="157"/>
      <c r="F1069" s="158"/>
      <c r="G1069" s="156"/>
      <c r="H1069" s="156"/>
      <c r="I1069" s="130"/>
      <c r="J1069" s="130"/>
      <c r="K1069" s="130"/>
    </row>
    <row r="1070" ht="15.75" customHeight="1">
      <c r="A1070" s="154"/>
      <c r="B1070" s="154"/>
      <c r="C1070" s="155"/>
      <c r="D1070" s="156"/>
      <c r="E1070" s="157"/>
      <c r="F1070" s="158"/>
      <c r="G1070" s="156"/>
      <c r="H1070" s="156"/>
      <c r="I1070" s="130"/>
      <c r="J1070" s="130"/>
      <c r="K1070" s="130"/>
    </row>
    <row r="1071" ht="15.75" customHeight="1">
      <c r="A1071" s="154"/>
      <c r="B1071" s="154"/>
      <c r="C1071" s="155"/>
      <c r="D1071" s="156"/>
      <c r="E1071" s="157"/>
      <c r="F1071" s="158"/>
      <c r="G1071" s="156"/>
      <c r="H1071" s="156"/>
      <c r="I1071" s="130"/>
      <c r="J1071" s="130"/>
      <c r="K1071" s="130"/>
    </row>
    <row r="1072" ht="15.75" customHeight="1">
      <c r="A1072" s="154"/>
      <c r="B1072" s="154"/>
      <c r="C1072" s="155"/>
      <c r="D1072" s="156"/>
      <c r="E1072" s="157"/>
      <c r="F1072" s="158"/>
      <c r="G1072" s="156"/>
      <c r="H1072" s="156"/>
      <c r="I1072" s="130"/>
      <c r="J1072" s="130"/>
      <c r="K1072" s="130"/>
    </row>
    <row r="1073" ht="15.75" customHeight="1">
      <c r="A1073" s="154"/>
      <c r="B1073" s="154"/>
      <c r="C1073" s="155"/>
      <c r="D1073" s="156"/>
      <c r="E1073" s="157"/>
      <c r="F1073" s="158"/>
      <c r="G1073" s="156"/>
      <c r="H1073" s="156"/>
      <c r="I1073" s="130"/>
      <c r="J1073" s="130"/>
      <c r="K1073" s="130"/>
    </row>
    <row r="1074" ht="15.75" customHeight="1">
      <c r="A1074" s="154"/>
      <c r="B1074" s="154"/>
      <c r="C1074" s="155"/>
      <c r="D1074" s="156"/>
      <c r="E1074" s="157"/>
      <c r="F1074" s="158"/>
      <c r="G1074" s="156"/>
      <c r="H1074" s="156"/>
      <c r="I1074" s="130"/>
      <c r="J1074" s="130"/>
      <c r="K1074" s="130"/>
    </row>
    <row r="1075" ht="15.75" customHeight="1">
      <c r="A1075" s="154"/>
      <c r="B1075" s="154"/>
      <c r="C1075" s="155"/>
      <c r="D1075" s="156"/>
      <c r="E1075" s="157"/>
      <c r="F1075" s="158"/>
      <c r="G1075" s="156"/>
      <c r="H1075" s="156"/>
      <c r="I1075" s="130"/>
      <c r="J1075" s="130"/>
      <c r="K1075" s="130"/>
    </row>
    <row r="1076" ht="15.75" customHeight="1">
      <c r="A1076" s="154"/>
      <c r="B1076" s="154"/>
      <c r="C1076" s="155"/>
      <c r="D1076" s="156"/>
      <c r="E1076" s="157"/>
      <c r="F1076" s="158"/>
      <c r="G1076" s="156"/>
      <c r="H1076" s="156"/>
      <c r="I1076" s="130"/>
      <c r="J1076" s="130"/>
      <c r="K1076" s="130"/>
    </row>
    <row r="1077" ht="15.75" customHeight="1">
      <c r="A1077" s="154"/>
      <c r="B1077" s="154"/>
      <c r="C1077" s="155"/>
      <c r="D1077" s="156"/>
      <c r="E1077" s="157"/>
      <c r="F1077" s="158"/>
      <c r="G1077" s="156"/>
      <c r="H1077" s="156"/>
      <c r="I1077" s="130"/>
      <c r="J1077" s="130"/>
      <c r="K1077" s="130"/>
    </row>
    <row r="1078" ht="15.75" customHeight="1">
      <c r="A1078" s="154"/>
      <c r="B1078" s="154"/>
      <c r="C1078" s="155"/>
      <c r="D1078" s="156"/>
      <c r="E1078" s="157"/>
      <c r="F1078" s="158"/>
      <c r="G1078" s="156"/>
      <c r="H1078" s="156"/>
      <c r="I1078" s="130"/>
      <c r="J1078" s="130"/>
      <c r="K1078" s="130"/>
    </row>
    <row r="1079" ht="15.75" customHeight="1">
      <c r="A1079" s="154"/>
      <c r="B1079" s="154"/>
      <c r="C1079" s="155"/>
      <c r="D1079" s="156"/>
      <c r="E1079" s="157"/>
      <c r="F1079" s="158"/>
      <c r="G1079" s="156"/>
      <c r="H1079" s="156"/>
      <c r="I1079" s="130"/>
      <c r="J1079" s="130"/>
      <c r="K1079" s="130"/>
    </row>
    <row r="1080" ht="15.75" customHeight="1">
      <c r="A1080" s="154"/>
      <c r="B1080" s="154"/>
      <c r="C1080" s="155"/>
      <c r="D1080" s="156"/>
      <c r="E1080" s="157"/>
      <c r="F1080" s="158"/>
      <c r="G1080" s="156"/>
      <c r="H1080" s="156"/>
      <c r="I1080" s="130"/>
      <c r="J1080" s="130"/>
      <c r="K1080" s="130"/>
    </row>
    <row r="1081" ht="15.75" customHeight="1">
      <c r="A1081" s="154"/>
      <c r="B1081" s="154"/>
      <c r="C1081" s="155"/>
      <c r="D1081" s="156"/>
      <c r="E1081" s="157"/>
      <c r="F1081" s="158"/>
      <c r="G1081" s="156"/>
      <c r="H1081" s="156"/>
      <c r="I1081" s="130"/>
      <c r="J1081" s="130"/>
      <c r="K1081" s="130"/>
    </row>
    <row r="1082" ht="15.75" customHeight="1">
      <c r="A1082" s="154"/>
      <c r="B1082" s="154"/>
      <c r="C1082" s="155"/>
      <c r="D1082" s="156"/>
      <c r="E1082" s="157"/>
      <c r="F1082" s="158"/>
      <c r="G1082" s="156"/>
      <c r="H1082" s="156"/>
      <c r="I1082" s="130"/>
      <c r="J1082" s="130"/>
      <c r="K1082" s="130"/>
    </row>
    <row r="1083" ht="15.75" customHeight="1">
      <c r="A1083" s="154"/>
      <c r="B1083" s="154"/>
      <c r="C1083" s="155"/>
      <c r="D1083" s="156"/>
      <c r="E1083" s="157"/>
      <c r="F1083" s="158"/>
      <c r="G1083" s="156"/>
      <c r="H1083" s="156"/>
      <c r="I1083" s="130"/>
      <c r="J1083" s="130"/>
      <c r="K1083" s="130"/>
    </row>
    <row r="1084" ht="15.75" customHeight="1">
      <c r="A1084" s="154"/>
      <c r="B1084" s="154"/>
      <c r="C1084" s="155"/>
      <c r="D1084" s="156"/>
      <c r="E1084" s="157"/>
      <c r="F1084" s="158"/>
      <c r="G1084" s="156"/>
      <c r="H1084" s="156"/>
      <c r="I1084" s="130"/>
      <c r="J1084" s="130"/>
      <c r="K1084" s="130"/>
    </row>
    <row r="1085" ht="15.75" customHeight="1">
      <c r="A1085" s="154"/>
      <c r="B1085" s="154"/>
      <c r="C1085" s="155"/>
      <c r="D1085" s="156"/>
      <c r="E1085" s="157"/>
      <c r="F1085" s="158"/>
      <c r="G1085" s="156"/>
      <c r="H1085" s="156"/>
      <c r="I1085" s="130"/>
      <c r="J1085" s="130"/>
      <c r="K1085" s="130"/>
    </row>
    <row r="1086" ht="15.75" customHeight="1">
      <c r="A1086" s="154"/>
      <c r="B1086" s="154"/>
      <c r="C1086" s="155"/>
      <c r="D1086" s="156"/>
      <c r="E1086" s="157"/>
      <c r="F1086" s="158"/>
      <c r="G1086" s="156"/>
      <c r="H1086" s="156"/>
      <c r="I1086" s="130"/>
      <c r="J1086" s="130"/>
      <c r="K1086" s="130"/>
    </row>
    <row r="1087" ht="15.75" customHeight="1">
      <c r="A1087" s="154"/>
      <c r="B1087" s="154"/>
      <c r="C1087" s="155"/>
      <c r="D1087" s="156"/>
      <c r="E1087" s="157"/>
      <c r="F1087" s="158"/>
      <c r="G1087" s="156"/>
      <c r="H1087" s="156"/>
      <c r="I1087" s="130"/>
      <c r="J1087" s="130"/>
      <c r="K1087" s="130"/>
    </row>
    <row r="1088" ht="15.75" customHeight="1">
      <c r="A1088" s="154"/>
      <c r="B1088" s="154"/>
      <c r="C1088" s="155"/>
      <c r="D1088" s="156"/>
      <c r="E1088" s="157"/>
      <c r="F1088" s="158"/>
      <c r="G1088" s="156"/>
      <c r="H1088" s="156"/>
      <c r="I1088" s="130"/>
      <c r="J1088" s="130"/>
      <c r="K1088" s="130"/>
    </row>
    <row r="1089" ht="15.75" customHeight="1">
      <c r="A1089" s="154"/>
      <c r="B1089" s="154"/>
      <c r="C1089" s="155"/>
      <c r="D1089" s="156"/>
      <c r="E1089" s="157"/>
      <c r="F1089" s="158"/>
      <c r="G1089" s="156"/>
      <c r="H1089" s="156"/>
      <c r="I1089" s="130"/>
      <c r="J1089" s="130"/>
      <c r="K1089" s="130"/>
    </row>
    <row r="1090" ht="15.75" customHeight="1">
      <c r="A1090" s="154"/>
      <c r="B1090" s="154"/>
      <c r="C1090" s="155"/>
      <c r="D1090" s="156"/>
      <c r="E1090" s="157"/>
      <c r="F1090" s="158"/>
      <c r="G1090" s="156"/>
      <c r="H1090" s="156"/>
      <c r="I1090" s="130"/>
      <c r="J1090" s="130"/>
      <c r="K1090" s="130"/>
    </row>
    <row r="1091" ht="15.75" customHeight="1">
      <c r="A1091" s="154"/>
      <c r="B1091" s="154"/>
      <c r="C1091" s="155"/>
      <c r="D1091" s="156"/>
      <c r="E1091" s="157"/>
      <c r="F1091" s="158"/>
      <c r="G1091" s="156"/>
      <c r="H1091" s="156"/>
      <c r="I1091" s="130"/>
      <c r="J1091" s="130"/>
      <c r="K1091" s="130"/>
    </row>
    <row r="1092" ht="15.75" customHeight="1">
      <c r="A1092" s="154"/>
      <c r="B1092" s="154"/>
      <c r="C1092" s="155"/>
      <c r="D1092" s="156"/>
      <c r="E1092" s="157"/>
      <c r="F1092" s="158"/>
      <c r="G1092" s="156"/>
      <c r="H1092" s="156"/>
      <c r="I1092" s="130"/>
      <c r="J1092" s="130"/>
      <c r="K1092" s="130"/>
    </row>
    <row r="1093" ht="15.75" customHeight="1">
      <c r="A1093" s="154"/>
      <c r="B1093" s="154"/>
      <c r="C1093" s="155"/>
      <c r="D1093" s="156"/>
      <c r="E1093" s="157"/>
      <c r="F1093" s="158"/>
      <c r="G1093" s="156"/>
      <c r="H1093" s="156"/>
      <c r="I1093" s="130"/>
      <c r="J1093" s="130"/>
      <c r="K1093" s="130"/>
    </row>
    <row r="1094" ht="15.75" customHeight="1">
      <c r="A1094" s="154"/>
      <c r="B1094" s="154"/>
      <c r="C1094" s="155"/>
      <c r="D1094" s="156"/>
      <c r="E1094" s="157"/>
      <c r="F1094" s="158"/>
      <c r="G1094" s="156"/>
      <c r="H1094" s="156"/>
      <c r="I1094" s="130"/>
      <c r="J1094" s="130"/>
      <c r="K1094" s="130"/>
    </row>
    <row r="1095" ht="15.75" customHeight="1">
      <c r="A1095" s="154"/>
      <c r="B1095" s="154"/>
      <c r="C1095" s="155"/>
      <c r="D1095" s="156"/>
      <c r="E1095" s="157"/>
      <c r="F1095" s="158"/>
      <c r="G1095" s="156"/>
      <c r="H1095" s="156"/>
      <c r="I1095" s="130"/>
      <c r="J1095" s="130"/>
      <c r="K1095" s="130"/>
    </row>
    <row r="1096" ht="15.75" customHeight="1">
      <c r="A1096" s="154"/>
      <c r="B1096" s="154"/>
      <c r="C1096" s="155"/>
      <c r="D1096" s="156"/>
      <c r="E1096" s="157"/>
      <c r="F1096" s="158"/>
      <c r="G1096" s="156"/>
      <c r="H1096" s="156"/>
      <c r="I1096" s="130"/>
      <c r="J1096" s="130"/>
      <c r="K1096" s="130"/>
    </row>
    <row r="1097" ht="15.75" customHeight="1">
      <c r="A1097" s="154"/>
      <c r="B1097" s="154"/>
      <c r="C1097" s="155"/>
      <c r="D1097" s="156"/>
      <c r="E1097" s="157"/>
      <c r="F1097" s="158"/>
      <c r="G1097" s="156"/>
      <c r="H1097" s="156"/>
      <c r="I1097" s="130"/>
      <c r="J1097" s="130"/>
      <c r="K1097" s="130"/>
    </row>
    <row r="1098" ht="15.75" customHeight="1">
      <c r="A1098" s="154"/>
      <c r="B1098" s="154"/>
      <c r="C1098" s="155"/>
      <c r="D1098" s="156"/>
      <c r="E1098" s="157"/>
      <c r="F1098" s="158"/>
      <c r="G1098" s="156"/>
      <c r="H1098" s="156"/>
      <c r="I1098" s="130"/>
      <c r="J1098" s="130"/>
      <c r="K1098" s="130"/>
    </row>
    <row r="1099" ht="15.75" customHeight="1">
      <c r="A1099" s="154"/>
      <c r="B1099" s="154"/>
      <c r="C1099" s="155"/>
      <c r="D1099" s="156"/>
      <c r="E1099" s="157"/>
      <c r="F1099" s="158"/>
      <c r="G1099" s="156"/>
      <c r="H1099" s="156"/>
      <c r="I1099" s="130"/>
      <c r="J1099" s="130"/>
      <c r="K1099" s="130"/>
    </row>
    <row r="1100" ht="15.75" customHeight="1">
      <c r="A1100" s="154"/>
      <c r="B1100" s="154"/>
      <c r="C1100" s="155"/>
      <c r="D1100" s="156"/>
      <c r="E1100" s="157"/>
      <c r="F1100" s="158"/>
      <c r="G1100" s="156"/>
      <c r="H1100" s="156"/>
      <c r="I1100" s="130"/>
      <c r="J1100" s="130"/>
      <c r="K1100" s="130"/>
    </row>
    <row r="1101" ht="15.75" customHeight="1">
      <c r="A1101" s="154"/>
      <c r="B1101" s="154"/>
      <c r="C1101" s="155"/>
      <c r="D1101" s="156"/>
      <c r="E1101" s="157"/>
      <c r="F1101" s="158"/>
      <c r="G1101" s="156"/>
      <c r="H1101" s="156"/>
      <c r="I1101" s="130"/>
      <c r="J1101" s="130"/>
      <c r="K1101" s="130"/>
    </row>
    <row r="1102" ht="15.75" customHeight="1">
      <c r="A1102" s="154"/>
      <c r="B1102" s="154"/>
      <c r="C1102" s="155"/>
      <c r="D1102" s="156"/>
      <c r="E1102" s="157"/>
      <c r="F1102" s="158"/>
      <c r="G1102" s="156"/>
      <c r="H1102" s="156"/>
      <c r="I1102" s="130"/>
      <c r="J1102" s="130"/>
      <c r="K1102" s="130"/>
    </row>
    <row r="1103" ht="15.75" customHeight="1">
      <c r="A1103" s="154"/>
      <c r="B1103" s="154"/>
      <c r="C1103" s="155"/>
      <c r="D1103" s="156"/>
      <c r="E1103" s="157"/>
      <c r="F1103" s="158"/>
      <c r="G1103" s="156"/>
      <c r="H1103" s="156"/>
      <c r="I1103" s="130"/>
      <c r="J1103" s="130"/>
      <c r="K1103" s="130"/>
    </row>
    <row r="1104" ht="15.75" customHeight="1">
      <c r="A1104" s="154"/>
      <c r="B1104" s="154"/>
      <c r="C1104" s="155"/>
      <c r="D1104" s="156"/>
      <c r="E1104" s="157"/>
      <c r="F1104" s="158"/>
      <c r="G1104" s="156"/>
      <c r="H1104" s="156"/>
      <c r="I1104" s="130"/>
      <c r="J1104" s="130"/>
      <c r="K1104" s="130"/>
    </row>
    <row r="1105" ht="15.75" customHeight="1">
      <c r="A1105" s="154"/>
      <c r="B1105" s="154"/>
      <c r="C1105" s="155"/>
      <c r="D1105" s="156"/>
      <c r="E1105" s="157"/>
      <c r="F1105" s="158"/>
      <c r="G1105" s="156"/>
      <c r="H1105" s="156"/>
      <c r="I1105" s="130"/>
      <c r="J1105" s="130"/>
      <c r="K1105" s="130"/>
    </row>
    <row r="1106" ht="15.75" customHeight="1">
      <c r="A1106" s="154"/>
      <c r="B1106" s="154"/>
      <c r="C1106" s="155"/>
      <c r="D1106" s="156"/>
      <c r="E1106" s="157"/>
      <c r="F1106" s="158"/>
      <c r="G1106" s="156"/>
      <c r="H1106" s="156"/>
      <c r="I1106" s="130"/>
      <c r="J1106" s="130"/>
      <c r="K1106" s="130"/>
    </row>
    <row r="1107" ht="15.75" customHeight="1">
      <c r="A1107" s="154"/>
      <c r="B1107" s="154"/>
      <c r="C1107" s="155"/>
      <c r="D1107" s="156"/>
      <c r="E1107" s="157"/>
      <c r="F1107" s="158"/>
      <c r="G1107" s="156"/>
      <c r="H1107" s="156"/>
      <c r="I1107" s="130"/>
      <c r="J1107" s="130"/>
      <c r="K1107" s="130"/>
    </row>
    <row r="1108" ht="15.75" customHeight="1">
      <c r="A1108" s="154"/>
      <c r="B1108" s="154"/>
      <c r="C1108" s="155"/>
      <c r="D1108" s="156"/>
      <c r="E1108" s="157"/>
      <c r="F1108" s="158"/>
      <c r="G1108" s="156"/>
      <c r="H1108" s="156"/>
      <c r="I1108" s="130"/>
      <c r="J1108" s="130"/>
      <c r="K1108" s="130"/>
    </row>
    <row r="1109" ht="15.75" customHeight="1">
      <c r="A1109" s="154"/>
      <c r="B1109" s="154"/>
      <c r="C1109" s="155"/>
      <c r="D1109" s="156"/>
      <c r="E1109" s="157"/>
      <c r="F1109" s="158"/>
      <c r="G1109" s="156"/>
      <c r="H1109" s="156"/>
      <c r="I1109" s="130"/>
      <c r="J1109" s="130"/>
      <c r="K1109" s="130"/>
    </row>
    <row r="1110" ht="15.75" customHeight="1">
      <c r="A1110" s="154"/>
      <c r="B1110" s="154"/>
      <c r="C1110" s="155"/>
      <c r="D1110" s="156"/>
      <c r="E1110" s="157"/>
      <c r="F1110" s="158"/>
      <c r="G1110" s="156"/>
      <c r="H1110" s="156"/>
      <c r="I1110" s="130"/>
      <c r="J1110" s="130"/>
      <c r="K1110" s="130"/>
    </row>
    <row r="1111" ht="15.75" customHeight="1">
      <c r="A1111" s="154"/>
      <c r="B1111" s="154"/>
      <c r="C1111" s="155"/>
      <c r="D1111" s="156"/>
      <c r="E1111" s="157"/>
      <c r="F1111" s="158"/>
      <c r="G1111" s="156"/>
      <c r="H1111" s="156"/>
      <c r="I1111" s="130"/>
      <c r="J1111" s="130"/>
      <c r="K1111" s="130"/>
    </row>
    <row r="1112" ht="15.75" customHeight="1">
      <c r="A1112" s="154"/>
      <c r="B1112" s="154"/>
      <c r="C1112" s="155"/>
      <c r="D1112" s="156"/>
      <c r="E1112" s="157"/>
      <c r="F1112" s="158"/>
      <c r="G1112" s="156"/>
      <c r="H1112" s="156"/>
      <c r="I1112" s="130"/>
      <c r="J1112" s="130"/>
      <c r="K1112" s="130"/>
    </row>
    <row r="1113" ht="15.75" customHeight="1">
      <c r="A1113" s="154"/>
      <c r="B1113" s="154"/>
      <c r="C1113" s="155"/>
      <c r="D1113" s="156"/>
      <c r="E1113" s="157"/>
      <c r="F1113" s="158"/>
      <c r="G1113" s="156"/>
      <c r="H1113" s="156"/>
      <c r="I1113" s="130"/>
      <c r="J1113" s="130"/>
      <c r="K1113" s="130"/>
    </row>
    <row r="1114" ht="15.75" customHeight="1">
      <c r="A1114" s="154"/>
      <c r="B1114" s="154"/>
      <c r="C1114" s="155"/>
      <c r="D1114" s="156"/>
      <c r="E1114" s="157"/>
      <c r="F1114" s="158"/>
      <c r="G1114" s="156"/>
      <c r="H1114" s="156"/>
      <c r="I1114" s="130"/>
      <c r="J1114" s="130"/>
      <c r="K1114" s="130"/>
    </row>
    <row r="1115" ht="15.75" customHeight="1">
      <c r="A1115" s="154"/>
      <c r="B1115" s="154"/>
      <c r="C1115" s="155"/>
      <c r="D1115" s="156"/>
      <c r="E1115" s="157"/>
      <c r="F1115" s="158"/>
      <c r="G1115" s="156"/>
      <c r="H1115" s="156"/>
      <c r="I1115" s="130"/>
      <c r="J1115" s="130"/>
      <c r="K1115" s="130"/>
    </row>
    <row r="1116" ht="15.75" customHeight="1">
      <c r="A1116" s="154"/>
      <c r="B1116" s="154"/>
      <c r="C1116" s="155"/>
      <c r="D1116" s="156"/>
      <c r="E1116" s="157"/>
      <c r="F1116" s="158"/>
      <c r="G1116" s="156"/>
      <c r="H1116" s="156"/>
      <c r="I1116" s="130"/>
      <c r="J1116" s="130"/>
      <c r="K1116" s="130"/>
    </row>
    <row r="1117" ht="15.75" customHeight="1">
      <c r="A1117" s="154"/>
      <c r="B1117" s="154"/>
      <c r="C1117" s="155"/>
      <c r="D1117" s="156"/>
      <c r="E1117" s="157"/>
      <c r="F1117" s="158"/>
      <c r="G1117" s="156"/>
      <c r="H1117" s="156"/>
      <c r="I1117" s="130"/>
      <c r="J1117" s="130"/>
      <c r="K1117" s="130"/>
    </row>
    <row r="1118" ht="15.75" customHeight="1">
      <c r="A1118" s="154"/>
      <c r="B1118" s="154"/>
      <c r="C1118" s="155"/>
      <c r="D1118" s="156"/>
      <c r="E1118" s="157"/>
      <c r="F1118" s="158"/>
      <c r="G1118" s="156"/>
      <c r="H1118" s="156"/>
      <c r="I1118" s="130"/>
      <c r="J1118" s="130"/>
      <c r="K1118" s="130"/>
    </row>
    <row r="1119" ht="15.75" customHeight="1">
      <c r="A1119" s="154"/>
      <c r="B1119" s="154"/>
      <c r="C1119" s="155"/>
      <c r="D1119" s="156"/>
      <c r="E1119" s="157"/>
      <c r="F1119" s="158"/>
      <c r="G1119" s="156"/>
      <c r="H1119" s="156"/>
      <c r="I1119" s="130"/>
      <c r="J1119" s="130"/>
      <c r="K1119" s="130"/>
    </row>
    <row r="1120" ht="15.75" customHeight="1">
      <c r="A1120" s="154"/>
      <c r="B1120" s="154"/>
      <c r="C1120" s="155"/>
      <c r="D1120" s="156"/>
      <c r="E1120" s="157"/>
      <c r="F1120" s="158"/>
      <c r="G1120" s="156"/>
      <c r="H1120" s="156"/>
      <c r="I1120" s="130"/>
      <c r="J1120" s="130"/>
      <c r="K1120" s="130"/>
    </row>
    <row r="1121" ht="15.75" customHeight="1">
      <c r="A1121" s="154"/>
      <c r="B1121" s="154"/>
      <c r="C1121" s="155"/>
      <c r="D1121" s="156"/>
      <c r="E1121" s="157"/>
      <c r="F1121" s="158"/>
      <c r="G1121" s="156"/>
      <c r="H1121" s="156"/>
      <c r="I1121" s="130"/>
      <c r="J1121" s="130"/>
      <c r="K1121" s="130"/>
    </row>
    <row r="1122" ht="15.75" customHeight="1">
      <c r="A1122" s="154"/>
      <c r="B1122" s="154"/>
      <c r="C1122" s="155"/>
      <c r="D1122" s="156"/>
      <c r="E1122" s="157"/>
      <c r="F1122" s="158"/>
      <c r="G1122" s="156"/>
      <c r="H1122" s="156"/>
      <c r="I1122" s="130"/>
      <c r="J1122" s="130"/>
      <c r="K1122" s="130"/>
    </row>
    <row r="1123" ht="15.75" customHeight="1">
      <c r="A1123" s="154"/>
      <c r="B1123" s="154"/>
      <c r="C1123" s="155"/>
      <c r="D1123" s="156"/>
      <c r="E1123" s="157"/>
      <c r="F1123" s="158"/>
      <c r="G1123" s="156"/>
      <c r="H1123" s="156"/>
      <c r="I1123" s="130"/>
      <c r="J1123" s="130"/>
      <c r="K1123" s="130"/>
    </row>
    <row r="1124" ht="15.75" customHeight="1">
      <c r="A1124" s="154"/>
      <c r="B1124" s="154"/>
      <c r="C1124" s="155"/>
      <c r="D1124" s="156"/>
      <c r="E1124" s="157"/>
      <c r="F1124" s="158"/>
      <c r="G1124" s="156"/>
      <c r="H1124" s="156"/>
      <c r="I1124" s="130"/>
      <c r="J1124" s="130"/>
      <c r="K1124" s="130"/>
    </row>
    <row r="1125" ht="15.75" customHeight="1">
      <c r="A1125" s="154"/>
      <c r="B1125" s="154"/>
      <c r="C1125" s="155"/>
      <c r="D1125" s="156"/>
      <c r="E1125" s="157"/>
      <c r="F1125" s="158"/>
      <c r="G1125" s="156"/>
      <c r="H1125" s="156"/>
      <c r="I1125" s="130"/>
      <c r="J1125" s="130"/>
      <c r="K1125" s="130"/>
    </row>
    <row r="1126" ht="15.75" customHeight="1">
      <c r="A1126" s="154"/>
      <c r="B1126" s="154"/>
      <c r="C1126" s="155"/>
      <c r="D1126" s="156"/>
      <c r="E1126" s="157"/>
      <c r="F1126" s="158"/>
      <c r="G1126" s="156"/>
      <c r="H1126" s="156"/>
      <c r="I1126" s="130"/>
      <c r="J1126" s="130"/>
      <c r="K1126" s="130"/>
    </row>
    <row r="1127" ht="15.75" customHeight="1">
      <c r="A1127" s="154"/>
      <c r="B1127" s="154"/>
      <c r="C1127" s="155"/>
      <c r="D1127" s="156"/>
      <c r="E1127" s="157"/>
      <c r="F1127" s="158"/>
      <c r="G1127" s="156"/>
      <c r="H1127" s="156"/>
      <c r="I1127" s="130"/>
      <c r="J1127" s="130"/>
      <c r="K1127" s="130"/>
    </row>
    <row r="1128" ht="15.75" customHeight="1">
      <c r="A1128" s="154"/>
      <c r="B1128" s="154"/>
      <c r="C1128" s="155"/>
      <c r="D1128" s="156"/>
      <c r="E1128" s="157"/>
      <c r="F1128" s="158"/>
      <c r="G1128" s="156"/>
      <c r="H1128" s="156"/>
      <c r="I1128" s="130"/>
      <c r="J1128" s="130"/>
      <c r="K1128" s="130"/>
    </row>
    <row r="1129" ht="15.75" customHeight="1">
      <c r="A1129" s="154"/>
      <c r="B1129" s="154"/>
      <c r="C1129" s="155"/>
      <c r="D1129" s="156"/>
      <c r="E1129" s="157"/>
      <c r="F1129" s="158"/>
      <c r="G1129" s="156"/>
      <c r="H1129" s="156"/>
      <c r="I1129" s="130"/>
      <c r="J1129" s="130"/>
      <c r="K1129" s="130"/>
    </row>
    <row r="1130" ht="15.75" customHeight="1">
      <c r="A1130" s="154"/>
      <c r="B1130" s="154"/>
      <c r="C1130" s="155"/>
      <c r="D1130" s="156"/>
      <c r="E1130" s="157"/>
      <c r="F1130" s="158"/>
      <c r="G1130" s="156"/>
      <c r="H1130" s="156"/>
      <c r="I1130" s="130"/>
      <c r="J1130" s="130"/>
      <c r="K1130" s="130"/>
    </row>
    <row r="1131" ht="15.75" customHeight="1">
      <c r="A1131" s="154"/>
      <c r="B1131" s="154"/>
      <c r="C1131" s="155"/>
      <c r="D1131" s="156"/>
      <c r="E1131" s="157"/>
      <c r="F1131" s="158"/>
      <c r="G1131" s="156"/>
      <c r="H1131" s="156"/>
      <c r="I1131" s="130"/>
      <c r="J1131" s="130"/>
      <c r="K1131" s="130"/>
    </row>
    <row r="1132" ht="15.75" customHeight="1">
      <c r="A1132" s="154"/>
      <c r="B1132" s="154"/>
      <c r="C1132" s="155"/>
      <c r="D1132" s="156"/>
      <c r="E1132" s="157"/>
      <c r="F1132" s="158"/>
      <c r="G1132" s="156"/>
      <c r="H1132" s="156"/>
      <c r="I1132" s="130"/>
      <c r="J1132" s="130"/>
      <c r="K1132" s="130"/>
    </row>
    <row r="1133" ht="15.75" customHeight="1">
      <c r="A1133" s="154"/>
      <c r="B1133" s="154"/>
      <c r="C1133" s="155"/>
      <c r="D1133" s="156"/>
      <c r="E1133" s="157"/>
      <c r="F1133" s="158"/>
      <c r="G1133" s="156"/>
      <c r="H1133" s="156"/>
      <c r="I1133" s="130"/>
      <c r="J1133" s="130"/>
      <c r="K1133" s="130"/>
    </row>
    <row r="1134" ht="15.75" customHeight="1">
      <c r="A1134" s="154"/>
      <c r="B1134" s="154"/>
      <c r="C1134" s="155"/>
      <c r="D1134" s="156"/>
      <c r="E1134" s="157"/>
      <c r="F1134" s="158"/>
      <c r="G1134" s="156"/>
      <c r="H1134" s="156"/>
      <c r="I1134" s="130"/>
      <c r="J1134" s="130"/>
      <c r="K1134" s="130"/>
    </row>
    <row r="1135" ht="15.75" customHeight="1">
      <c r="A1135" s="154"/>
      <c r="B1135" s="154"/>
      <c r="C1135" s="155"/>
      <c r="D1135" s="156"/>
      <c r="E1135" s="157"/>
      <c r="F1135" s="158"/>
      <c r="G1135" s="156"/>
      <c r="H1135" s="156"/>
      <c r="I1135" s="130"/>
      <c r="J1135" s="130"/>
      <c r="K1135" s="130"/>
    </row>
    <row r="1136" ht="15.75" customHeight="1">
      <c r="A1136" s="154"/>
      <c r="B1136" s="154"/>
      <c r="C1136" s="155"/>
      <c r="D1136" s="156"/>
      <c r="E1136" s="157"/>
      <c r="F1136" s="158"/>
      <c r="G1136" s="156"/>
      <c r="H1136" s="156"/>
      <c r="I1136" s="130"/>
      <c r="J1136" s="130"/>
      <c r="K1136" s="130"/>
    </row>
    <row r="1137" ht="15.75" customHeight="1">
      <c r="A1137" s="154"/>
      <c r="B1137" s="154"/>
      <c r="C1137" s="155"/>
      <c r="D1137" s="156"/>
      <c r="E1137" s="157"/>
      <c r="F1137" s="158"/>
      <c r="G1137" s="156"/>
      <c r="H1137" s="156"/>
      <c r="I1137" s="130"/>
      <c r="J1137" s="130"/>
      <c r="K1137" s="130"/>
    </row>
    <row r="1138" ht="15.75" customHeight="1">
      <c r="A1138" s="154"/>
      <c r="B1138" s="154"/>
      <c r="C1138" s="155"/>
      <c r="D1138" s="156"/>
      <c r="E1138" s="157"/>
      <c r="F1138" s="158"/>
      <c r="G1138" s="156"/>
      <c r="H1138" s="156"/>
      <c r="I1138" s="130"/>
      <c r="J1138" s="130"/>
      <c r="K1138" s="130"/>
    </row>
    <row r="1139" ht="15.75" customHeight="1">
      <c r="A1139" s="154"/>
      <c r="B1139" s="154"/>
      <c r="C1139" s="155"/>
      <c r="D1139" s="156"/>
      <c r="E1139" s="157"/>
      <c r="F1139" s="158"/>
      <c r="G1139" s="156"/>
      <c r="H1139" s="156"/>
      <c r="I1139" s="130"/>
      <c r="J1139" s="130"/>
      <c r="K1139" s="130"/>
    </row>
    <row r="1140" ht="15.75" customHeight="1">
      <c r="A1140" s="154"/>
      <c r="B1140" s="154"/>
      <c r="C1140" s="155"/>
      <c r="D1140" s="156"/>
      <c r="E1140" s="157"/>
      <c r="F1140" s="158"/>
      <c r="G1140" s="156"/>
      <c r="H1140" s="156"/>
      <c r="I1140" s="130"/>
      <c r="J1140" s="130"/>
      <c r="K1140" s="130"/>
    </row>
    <row r="1141" ht="15.75" customHeight="1">
      <c r="A1141" s="154"/>
      <c r="B1141" s="154"/>
      <c r="C1141" s="155"/>
      <c r="D1141" s="156"/>
      <c r="E1141" s="157"/>
      <c r="F1141" s="158"/>
      <c r="G1141" s="156"/>
      <c r="H1141" s="156"/>
      <c r="I1141" s="130"/>
      <c r="J1141" s="130"/>
      <c r="K1141" s="130"/>
    </row>
    <row r="1142" ht="15.75" customHeight="1">
      <c r="A1142" s="154"/>
      <c r="B1142" s="154"/>
      <c r="C1142" s="155"/>
      <c r="D1142" s="156"/>
      <c r="E1142" s="157"/>
      <c r="F1142" s="158"/>
      <c r="G1142" s="156"/>
      <c r="H1142" s="156"/>
      <c r="I1142" s="130"/>
      <c r="J1142" s="130"/>
      <c r="K1142" s="130"/>
    </row>
    <row r="1143" ht="15.75" customHeight="1">
      <c r="A1143" s="154"/>
      <c r="B1143" s="154"/>
      <c r="C1143" s="155"/>
      <c r="D1143" s="156"/>
      <c r="E1143" s="157"/>
      <c r="F1143" s="158"/>
      <c r="G1143" s="156"/>
      <c r="H1143" s="156"/>
      <c r="I1143" s="130"/>
      <c r="J1143" s="130"/>
      <c r="K1143" s="130"/>
    </row>
    <row r="1144" ht="15.75" customHeight="1">
      <c r="A1144" s="154"/>
      <c r="B1144" s="154"/>
      <c r="C1144" s="155"/>
      <c r="D1144" s="156"/>
      <c r="E1144" s="157"/>
      <c r="F1144" s="158"/>
      <c r="G1144" s="156"/>
      <c r="H1144" s="156"/>
      <c r="I1144" s="130"/>
      <c r="J1144" s="130"/>
      <c r="K1144" s="130"/>
    </row>
    <row r="1145" ht="15.75" customHeight="1">
      <c r="A1145" s="154"/>
      <c r="B1145" s="154"/>
      <c r="C1145" s="155"/>
      <c r="D1145" s="156"/>
      <c r="E1145" s="157"/>
      <c r="F1145" s="158"/>
      <c r="G1145" s="156"/>
      <c r="H1145" s="156"/>
      <c r="I1145" s="130"/>
      <c r="J1145" s="130"/>
      <c r="K1145" s="130"/>
    </row>
    <row r="1146" ht="15.75" customHeight="1">
      <c r="A1146" s="154"/>
      <c r="B1146" s="154"/>
      <c r="C1146" s="155"/>
      <c r="D1146" s="156"/>
      <c r="E1146" s="157"/>
      <c r="F1146" s="158"/>
      <c r="G1146" s="156"/>
      <c r="H1146" s="156"/>
      <c r="I1146" s="130"/>
      <c r="J1146" s="130"/>
      <c r="K1146" s="130"/>
    </row>
    <row r="1147" ht="15.75" customHeight="1">
      <c r="A1147" s="154"/>
      <c r="B1147" s="154"/>
      <c r="C1147" s="155"/>
      <c r="D1147" s="156"/>
      <c r="E1147" s="157"/>
      <c r="F1147" s="158"/>
      <c r="G1147" s="156"/>
      <c r="H1147" s="156"/>
      <c r="I1147" s="130"/>
      <c r="J1147" s="130"/>
      <c r="K1147" s="130"/>
    </row>
    <row r="1148" ht="15.75" customHeight="1">
      <c r="A1148" s="154"/>
      <c r="B1148" s="154"/>
      <c r="C1148" s="155"/>
      <c r="D1148" s="156"/>
      <c r="E1148" s="157"/>
      <c r="F1148" s="158"/>
      <c r="G1148" s="156"/>
      <c r="H1148" s="156"/>
      <c r="I1148" s="130"/>
      <c r="J1148" s="130"/>
      <c r="K1148" s="130"/>
    </row>
    <row r="1149" ht="15.75" customHeight="1">
      <c r="A1149" s="154"/>
      <c r="B1149" s="154"/>
      <c r="C1149" s="155"/>
      <c r="D1149" s="156"/>
      <c r="E1149" s="157"/>
      <c r="F1149" s="158"/>
      <c r="G1149" s="156"/>
      <c r="H1149" s="156"/>
      <c r="I1149" s="130"/>
      <c r="J1149" s="130"/>
      <c r="K1149" s="130"/>
    </row>
    <row r="1150" ht="15.75" customHeight="1">
      <c r="A1150" s="154"/>
      <c r="B1150" s="154"/>
      <c r="C1150" s="155"/>
      <c r="D1150" s="156"/>
      <c r="E1150" s="157"/>
      <c r="F1150" s="158"/>
      <c r="G1150" s="156"/>
      <c r="H1150" s="156"/>
      <c r="I1150" s="130"/>
      <c r="J1150" s="130"/>
      <c r="K1150" s="130"/>
    </row>
    <row r="1151" ht="15.75" customHeight="1">
      <c r="A1151" s="154"/>
      <c r="B1151" s="154"/>
      <c r="C1151" s="155"/>
      <c r="D1151" s="156"/>
      <c r="E1151" s="157"/>
      <c r="F1151" s="158"/>
      <c r="G1151" s="156"/>
      <c r="H1151" s="156"/>
      <c r="I1151" s="130"/>
      <c r="J1151" s="130"/>
      <c r="K1151" s="130"/>
    </row>
    <row r="1152" ht="15.75" customHeight="1">
      <c r="A1152" s="154"/>
      <c r="B1152" s="154"/>
      <c r="C1152" s="155"/>
      <c r="D1152" s="156"/>
      <c r="E1152" s="157"/>
      <c r="F1152" s="158"/>
      <c r="G1152" s="156"/>
      <c r="H1152" s="156"/>
      <c r="I1152" s="130"/>
      <c r="J1152" s="130"/>
      <c r="K1152" s="130"/>
    </row>
    <row r="1153" ht="15.75" customHeight="1">
      <c r="A1153" s="154"/>
      <c r="B1153" s="154"/>
      <c r="C1153" s="155"/>
      <c r="D1153" s="156"/>
      <c r="E1153" s="157"/>
      <c r="F1153" s="158"/>
      <c r="G1153" s="156"/>
      <c r="H1153" s="156"/>
      <c r="I1153" s="130"/>
      <c r="J1153" s="130"/>
      <c r="K1153" s="130"/>
    </row>
    <row r="1154" ht="15.75" customHeight="1">
      <c r="A1154" s="154"/>
      <c r="B1154" s="154"/>
      <c r="C1154" s="155"/>
      <c r="D1154" s="156"/>
      <c r="E1154" s="157"/>
      <c r="F1154" s="158"/>
      <c r="G1154" s="156"/>
      <c r="H1154" s="156"/>
      <c r="I1154" s="130"/>
      <c r="J1154" s="130"/>
      <c r="K1154" s="130"/>
    </row>
    <row r="1155" ht="15.75" customHeight="1">
      <c r="A1155" s="154"/>
      <c r="B1155" s="154"/>
      <c r="C1155" s="155"/>
      <c r="D1155" s="156"/>
      <c r="E1155" s="157"/>
      <c r="F1155" s="158"/>
      <c r="G1155" s="156"/>
      <c r="H1155" s="156"/>
      <c r="I1155" s="130"/>
      <c r="J1155" s="130"/>
      <c r="K1155" s="130"/>
    </row>
    <row r="1156" ht="15.75" customHeight="1">
      <c r="A1156" s="154"/>
      <c r="B1156" s="154"/>
      <c r="C1156" s="155"/>
      <c r="D1156" s="156"/>
      <c r="E1156" s="157"/>
      <c r="F1156" s="158"/>
      <c r="G1156" s="156"/>
      <c r="H1156" s="156"/>
      <c r="I1156" s="130"/>
      <c r="J1156" s="130"/>
      <c r="K1156" s="130"/>
    </row>
    <row r="1157" ht="15.75" customHeight="1">
      <c r="A1157" s="154"/>
      <c r="B1157" s="154"/>
      <c r="C1157" s="155"/>
      <c r="D1157" s="156"/>
      <c r="E1157" s="157"/>
      <c r="F1157" s="158"/>
      <c r="G1157" s="156"/>
      <c r="H1157" s="156"/>
      <c r="I1157" s="130"/>
      <c r="J1157" s="130"/>
      <c r="K1157" s="130"/>
    </row>
    <row r="1158" ht="15.75" customHeight="1">
      <c r="A1158" s="154"/>
      <c r="B1158" s="154"/>
      <c r="C1158" s="155"/>
      <c r="D1158" s="156"/>
      <c r="E1158" s="157"/>
      <c r="F1158" s="158"/>
      <c r="G1158" s="156"/>
      <c r="H1158" s="156"/>
      <c r="I1158" s="130"/>
      <c r="J1158" s="130"/>
      <c r="K1158" s="130"/>
    </row>
    <row r="1159" ht="15.75" customHeight="1">
      <c r="A1159" s="154"/>
      <c r="B1159" s="154"/>
      <c r="C1159" s="155"/>
      <c r="D1159" s="156"/>
      <c r="E1159" s="157"/>
      <c r="F1159" s="158"/>
      <c r="G1159" s="156"/>
      <c r="H1159" s="156"/>
      <c r="I1159" s="130"/>
      <c r="J1159" s="130"/>
      <c r="K1159" s="130"/>
    </row>
    <row r="1160" ht="15.75" customHeight="1">
      <c r="A1160" s="154"/>
      <c r="B1160" s="154"/>
      <c r="C1160" s="155"/>
      <c r="D1160" s="156"/>
      <c r="E1160" s="157"/>
      <c r="F1160" s="158"/>
      <c r="G1160" s="156"/>
      <c r="H1160" s="156"/>
      <c r="I1160" s="130"/>
      <c r="J1160" s="130"/>
      <c r="K1160" s="130"/>
    </row>
    <row r="1161" ht="15.75" customHeight="1">
      <c r="A1161" s="154"/>
      <c r="B1161" s="154"/>
      <c r="C1161" s="155"/>
      <c r="D1161" s="156"/>
      <c r="E1161" s="157"/>
      <c r="F1161" s="158"/>
      <c r="G1161" s="156"/>
      <c r="H1161" s="156"/>
      <c r="I1161" s="130"/>
      <c r="J1161" s="130"/>
      <c r="K1161" s="130"/>
    </row>
    <row r="1162" ht="15.75" customHeight="1">
      <c r="A1162" s="154"/>
      <c r="B1162" s="154"/>
      <c r="C1162" s="155"/>
      <c r="D1162" s="156"/>
      <c r="E1162" s="157"/>
      <c r="F1162" s="158"/>
      <c r="G1162" s="156"/>
      <c r="H1162" s="156"/>
      <c r="I1162" s="130"/>
      <c r="J1162" s="130"/>
      <c r="K1162" s="130"/>
    </row>
    <row r="1163" ht="15.75" customHeight="1">
      <c r="A1163" s="154"/>
      <c r="B1163" s="154"/>
      <c r="C1163" s="155"/>
      <c r="D1163" s="156"/>
      <c r="E1163" s="157"/>
      <c r="F1163" s="158"/>
      <c r="G1163" s="156"/>
      <c r="H1163" s="156"/>
      <c r="I1163" s="130"/>
      <c r="J1163" s="130"/>
      <c r="K1163" s="130"/>
    </row>
    <row r="1164" ht="15.75" customHeight="1">
      <c r="A1164" s="154"/>
      <c r="B1164" s="154"/>
      <c r="C1164" s="155"/>
      <c r="D1164" s="156"/>
      <c r="E1164" s="157"/>
      <c r="F1164" s="158"/>
      <c r="G1164" s="156"/>
      <c r="H1164" s="156"/>
      <c r="I1164" s="130"/>
      <c r="J1164" s="130"/>
      <c r="K1164" s="130"/>
    </row>
    <row r="1165" ht="15.75" customHeight="1">
      <c r="A1165" s="154"/>
      <c r="B1165" s="154"/>
      <c r="C1165" s="155"/>
      <c r="D1165" s="156"/>
      <c r="E1165" s="157"/>
      <c r="F1165" s="158"/>
      <c r="G1165" s="156"/>
      <c r="H1165" s="156"/>
      <c r="I1165" s="130"/>
      <c r="J1165" s="130"/>
      <c r="K1165" s="130"/>
    </row>
    <row r="1166" ht="15.75" customHeight="1">
      <c r="A1166" s="154"/>
      <c r="B1166" s="154"/>
      <c r="C1166" s="155"/>
      <c r="D1166" s="156"/>
      <c r="E1166" s="157"/>
      <c r="F1166" s="158"/>
      <c r="G1166" s="156"/>
      <c r="H1166" s="156"/>
      <c r="I1166" s="130"/>
      <c r="J1166" s="130"/>
      <c r="K1166" s="130"/>
    </row>
    <row r="1167" ht="15.75" customHeight="1">
      <c r="A1167" s="154"/>
      <c r="B1167" s="154"/>
      <c r="C1167" s="155"/>
      <c r="D1167" s="156"/>
      <c r="E1167" s="157"/>
      <c r="F1167" s="158"/>
      <c r="G1167" s="156"/>
      <c r="H1167" s="156"/>
      <c r="I1167" s="130"/>
      <c r="J1167" s="130"/>
      <c r="K1167" s="130"/>
    </row>
    <row r="1168" ht="15.75" customHeight="1">
      <c r="A1168" s="154"/>
      <c r="B1168" s="154"/>
      <c r="C1168" s="155"/>
      <c r="D1168" s="156"/>
      <c r="E1168" s="157"/>
      <c r="F1168" s="158"/>
      <c r="G1168" s="156"/>
      <c r="H1168" s="156"/>
      <c r="I1168" s="130"/>
      <c r="J1168" s="130"/>
      <c r="K1168" s="130"/>
    </row>
    <row r="1169" ht="15.75" customHeight="1">
      <c r="A1169" s="154"/>
      <c r="B1169" s="154"/>
      <c r="C1169" s="155"/>
      <c r="D1169" s="156"/>
      <c r="E1169" s="157"/>
      <c r="F1169" s="158"/>
      <c r="G1169" s="156"/>
      <c r="H1169" s="156"/>
      <c r="I1169" s="130"/>
      <c r="J1169" s="130"/>
      <c r="K1169" s="130"/>
    </row>
    <row r="1170" ht="15.75" customHeight="1">
      <c r="A1170" s="154"/>
      <c r="B1170" s="154"/>
      <c r="C1170" s="155"/>
      <c r="D1170" s="156"/>
      <c r="E1170" s="157"/>
      <c r="F1170" s="158"/>
      <c r="G1170" s="156"/>
      <c r="H1170" s="156"/>
      <c r="I1170" s="130"/>
      <c r="J1170" s="130"/>
      <c r="K1170" s="130"/>
    </row>
    <row r="1171" ht="15.75" customHeight="1">
      <c r="A1171" s="154"/>
      <c r="B1171" s="154"/>
      <c r="C1171" s="155"/>
      <c r="D1171" s="156"/>
      <c r="E1171" s="157"/>
      <c r="F1171" s="158"/>
      <c r="G1171" s="156"/>
      <c r="H1171" s="156"/>
      <c r="I1171" s="130"/>
      <c r="J1171" s="130"/>
      <c r="K1171" s="130"/>
    </row>
    <row r="1172" ht="15.75" customHeight="1">
      <c r="A1172" s="154"/>
      <c r="B1172" s="154"/>
      <c r="C1172" s="155"/>
      <c r="D1172" s="156"/>
      <c r="E1172" s="157"/>
      <c r="F1172" s="158"/>
      <c r="G1172" s="156"/>
      <c r="H1172" s="156"/>
      <c r="I1172" s="130"/>
      <c r="J1172" s="130"/>
      <c r="K1172" s="130"/>
    </row>
    <row r="1173" ht="15.75" customHeight="1">
      <c r="A1173" s="154"/>
      <c r="B1173" s="154"/>
      <c r="C1173" s="155"/>
      <c r="D1173" s="156"/>
      <c r="E1173" s="157"/>
      <c r="F1173" s="158"/>
      <c r="G1173" s="156"/>
      <c r="H1173" s="156"/>
      <c r="I1173" s="130"/>
      <c r="J1173" s="130"/>
      <c r="K1173" s="130"/>
    </row>
    <row r="1174" ht="15.75" customHeight="1">
      <c r="A1174" s="154"/>
      <c r="B1174" s="154"/>
      <c r="C1174" s="155"/>
      <c r="D1174" s="156"/>
      <c r="E1174" s="157"/>
      <c r="F1174" s="158"/>
      <c r="G1174" s="156"/>
      <c r="H1174" s="156"/>
      <c r="I1174" s="130"/>
      <c r="J1174" s="130"/>
      <c r="K1174" s="130"/>
    </row>
    <row r="1175" ht="15.75" customHeight="1">
      <c r="A1175" s="154"/>
      <c r="B1175" s="154"/>
      <c r="C1175" s="155"/>
      <c r="D1175" s="156"/>
      <c r="E1175" s="157"/>
      <c r="F1175" s="158"/>
      <c r="G1175" s="156"/>
      <c r="H1175" s="156"/>
      <c r="I1175" s="130"/>
      <c r="J1175" s="130"/>
      <c r="K1175" s="130"/>
    </row>
    <row r="1176" ht="15.75" customHeight="1">
      <c r="A1176" s="154"/>
      <c r="B1176" s="154"/>
      <c r="C1176" s="155"/>
      <c r="D1176" s="156"/>
      <c r="E1176" s="157"/>
      <c r="F1176" s="158"/>
      <c r="G1176" s="156"/>
      <c r="H1176" s="156"/>
      <c r="I1176" s="130"/>
      <c r="J1176" s="130"/>
      <c r="K1176" s="130"/>
    </row>
    <row r="1177" ht="15.75" customHeight="1">
      <c r="A1177" s="154"/>
      <c r="B1177" s="154"/>
      <c r="C1177" s="155"/>
      <c r="D1177" s="156"/>
      <c r="E1177" s="157"/>
      <c r="F1177" s="158"/>
      <c r="G1177" s="156"/>
      <c r="H1177" s="156"/>
      <c r="I1177" s="130"/>
      <c r="J1177" s="130"/>
      <c r="K1177" s="130"/>
    </row>
    <row r="1178" ht="15.75" customHeight="1">
      <c r="A1178" s="154"/>
      <c r="B1178" s="154"/>
      <c r="C1178" s="155"/>
      <c r="D1178" s="156"/>
      <c r="E1178" s="157"/>
      <c r="F1178" s="158"/>
      <c r="G1178" s="156"/>
      <c r="H1178" s="156"/>
      <c r="I1178" s="130"/>
      <c r="J1178" s="130"/>
      <c r="K1178" s="130"/>
    </row>
    <row r="1179" ht="15.75" customHeight="1">
      <c r="A1179" s="154"/>
      <c r="B1179" s="154"/>
      <c r="C1179" s="155"/>
      <c r="D1179" s="156"/>
      <c r="E1179" s="157"/>
      <c r="F1179" s="158"/>
      <c r="G1179" s="156"/>
      <c r="H1179" s="156"/>
      <c r="I1179" s="130"/>
      <c r="J1179" s="130"/>
      <c r="K1179" s="130"/>
    </row>
    <row r="1180" ht="15.75" customHeight="1">
      <c r="A1180" s="154"/>
      <c r="B1180" s="154"/>
      <c r="C1180" s="155"/>
      <c r="D1180" s="156"/>
      <c r="E1180" s="157"/>
      <c r="F1180" s="158"/>
      <c r="G1180" s="156"/>
      <c r="H1180" s="156"/>
      <c r="I1180" s="130"/>
      <c r="J1180" s="130"/>
      <c r="K1180" s="130"/>
    </row>
    <row r="1181" ht="15.75" customHeight="1">
      <c r="A1181" s="154"/>
      <c r="B1181" s="154"/>
      <c r="C1181" s="155"/>
      <c r="D1181" s="156"/>
      <c r="E1181" s="157"/>
      <c r="F1181" s="158"/>
      <c r="G1181" s="156"/>
      <c r="H1181" s="156"/>
      <c r="I1181" s="130"/>
      <c r="J1181" s="130"/>
      <c r="K1181" s="130"/>
    </row>
    <row r="1182" ht="15.75" customHeight="1">
      <c r="A1182" s="154"/>
      <c r="B1182" s="154"/>
      <c r="C1182" s="155"/>
      <c r="D1182" s="156"/>
      <c r="E1182" s="157"/>
      <c r="F1182" s="158"/>
      <c r="G1182" s="156"/>
      <c r="H1182" s="156"/>
      <c r="I1182" s="130"/>
      <c r="J1182" s="130"/>
      <c r="K1182" s="130"/>
    </row>
    <row r="1183" ht="15.75" customHeight="1">
      <c r="A1183" s="154"/>
      <c r="B1183" s="154"/>
      <c r="C1183" s="155"/>
      <c r="D1183" s="156"/>
      <c r="E1183" s="157"/>
      <c r="F1183" s="158"/>
      <c r="G1183" s="156"/>
      <c r="H1183" s="156"/>
      <c r="I1183" s="130"/>
      <c r="J1183" s="130"/>
      <c r="K1183" s="130"/>
    </row>
    <row r="1184" ht="15.75" customHeight="1">
      <c r="A1184" s="154"/>
      <c r="B1184" s="154"/>
      <c r="C1184" s="155"/>
      <c r="D1184" s="156"/>
      <c r="E1184" s="157"/>
      <c r="F1184" s="158"/>
      <c r="G1184" s="156"/>
      <c r="H1184" s="156"/>
      <c r="I1184" s="130"/>
      <c r="J1184" s="130"/>
      <c r="K1184" s="130"/>
    </row>
    <row r="1185" ht="15.75" customHeight="1">
      <c r="A1185" s="154"/>
      <c r="B1185" s="154"/>
      <c r="C1185" s="155"/>
      <c r="D1185" s="156"/>
      <c r="E1185" s="157"/>
      <c r="F1185" s="158"/>
      <c r="G1185" s="156"/>
      <c r="H1185" s="156"/>
      <c r="I1185" s="130"/>
      <c r="J1185" s="130"/>
      <c r="K1185" s="130"/>
    </row>
    <row r="1186" ht="15.75" customHeight="1">
      <c r="A1186" s="154"/>
      <c r="B1186" s="154"/>
      <c r="C1186" s="155"/>
      <c r="D1186" s="156"/>
      <c r="E1186" s="157"/>
      <c r="F1186" s="158"/>
      <c r="G1186" s="156"/>
      <c r="H1186" s="156"/>
      <c r="I1186" s="130"/>
      <c r="J1186" s="130"/>
      <c r="K1186" s="130"/>
    </row>
    <row r="1187" ht="15.75" customHeight="1">
      <c r="A1187" s="154"/>
      <c r="B1187" s="154"/>
      <c r="C1187" s="155"/>
      <c r="D1187" s="156"/>
      <c r="E1187" s="157"/>
      <c r="F1187" s="158"/>
      <c r="G1187" s="156"/>
      <c r="H1187" s="156"/>
      <c r="I1187" s="130"/>
      <c r="J1187" s="130"/>
      <c r="K1187" s="130"/>
    </row>
    <row r="1188" ht="15.75" customHeight="1">
      <c r="A1188" s="154"/>
      <c r="B1188" s="154"/>
      <c r="C1188" s="155"/>
      <c r="D1188" s="156"/>
      <c r="E1188" s="157"/>
      <c r="F1188" s="158"/>
      <c r="G1188" s="156"/>
      <c r="H1188" s="156"/>
      <c r="I1188" s="130"/>
      <c r="J1188" s="130"/>
      <c r="K1188" s="130"/>
    </row>
    <row r="1189" ht="15.75" customHeight="1">
      <c r="A1189" s="154"/>
      <c r="B1189" s="154"/>
      <c r="C1189" s="155"/>
      <c r="D1189" s="156"/>
      <c r="E1189" s="157"/>
      <c r="F1189" s="158"/>
      <c r="G1189" s="156"/>
      <c r="H1189" s="156"/>
      <c r="I1189" s="130"/>
      <c r="J1189" s="130"/>
      <c r="K1189" s="130"/>
    </row>
    <row r="1190" ht="15.75" customHeight="1">
      <c r="A1190" s="154"/>
      <c r="B1190" s="154"/>
      <c r="C1190" s="155"/>
      <c r="D1190" s="156"/>
      <c r="E1190" s="157"/>
      <c r="F1190" s="158"/>
      <c r="G1190" s="156"/>
      <c r="H1190" s="156"/>
      <c r="I1190" s="130"/>
      <c r="J1190" s="130"/>
      <c r="K1190" s="130"/>
    </row>
    <row r="1191" ht="15.75" customHeight="1">
      <c r="A1191" s="154"/>
      <c r="B1191" s="154"/>
      <c r="C1191" s="155"/>
      <c r="D1191" s="156"/>
      <c r="E1191" s="157"/>
      <c r="F1191" s="158"/>
      <c r="G1191" s="156"/>
      <c r="H1191" s="156"/>
      <c r="I1191" s="130"/>
      <c r="J1191" s="130"/>
      <c r="K1191" s="130"/>
    </row>
    <row r="1192" ht="15.75" customHeight="1">
      <c r="A1192" s="154"/>
      <c r="B1192" s="154"/>
      <c r="C1192" s="155"/>
      <c r="D1192" s="156"/>
      <c r="E1192" s="157"/>
      <c r="F1192" s="158"/>
      <c r="G1192" s="156"/>
      <c r="H1192" s="156"/>
      <c r="I1192" s="130"/>
      <c r="J1192" s="130"/>
      <c r="K1192" s="130"/>
    </row>
    <row r="1193" ht="15.75" customHeight="1">
      <c r="A1193" s="154"/>
      <c r="B1193" s="154"/>
      <c r="C1193" s="155"/>
      <c r="D1193" s="156"/>
      <c r="E1193" s="157"/>
      <c r="F1193" s="158"/>
      <c r="G1193" s="156"/>
      <c r="H1193" s="156"/>
      <c r="I1193" s="130"/>
      <c r="J1193" s="130"/>
      <c r="K1193" s="130"/>
    </row>
    <row r="1194" ht="15.75" customHeight="1">
      <c r="A1194" s="154"/>
      <c r="B1194" s="154"/>
      <c r="C1194" s="155"/>
      <c r="D1194" s="156"/>
      <c r="E1194" s="157"/>
      <c r="F1194" s="158"/>
      <c r="G1194" s="156"/>
      <c r="H1194" s="156"/>
      <c r="I1194" s="130"/>
      <c r="J1194" s="130"/>
      <c r="K1194" s="130"/>
    </row>
    <row r="1195" ht="15.75" customHeight="1">
      <c r="A1195" s="154"/>
      <c r="B1195" s="154"/>
      <c r="C1195" s="155"/>
      <c r="D1195" s="156"/>
      <c r="E1195" s="157"/>
      <c r="F1195" s="158"/>
      <c r="G1195" s="156"/>
      <c r="H1195" s="156"/>
      <c r="I1195" s="130"/>
      <c r="J1195" s="130"/>
      <c r="K1195" s="130"/>
    </row>
    <row r="1196" ht="15.75" customHeight="1">
      <c r="A1196" s="154"/>
      <c r="B1196" s="154"/>
      <c r="C1196" s="155"/>
      <c r="D1196" s="156"/>
      <c r="E1196" s="157"/>
      <c r="F1196" s="158"/>
      <c r="G1196" s="156"/>
      <c r="H1196" s="156"/>
      <c r="I1196" s="130"/>
      <c r="J1196" s="130"/>
      <c r="K1196" s="130"/>
    </row>
    <row r="1197" ht="15.75" customHeight="1">
      <c r="A1197" s="154"/>
      <c r="B1197" s="154"/>
      <c r="C1197" s="155"/>
      <c r="D1197" s="156"/>
      <c r="E1197" s="157"/>
      <c r="F1197" s="158"/>
      <c r="G1197" s="156"/>
      <c r="H1197" s="156"/>
      <c r="I1197" s="130"/>
      <c r="J1197" s="130"/>
      <c r="K1197" s="130"/>
    </row>
    <row r="1198" ht="15.75" customHeight="1">
      <c r="A1198" s="154"/>
      <c r="B1198" s="154"/>
      <c r="C1198" s="155"/>
      <c r="D1198" s="156"/>
      <c r="E1198" s="157"/>
      <c r="F1198" s="158"/>
      <c r="G1198" s="156"/>
      <c r="H1198" s="156"/>
      <c r="I1198" s="130"/>
      <c r="J1198" s="130"/>
      <c r="K1198" s="130"/>
    </row>
    <row r="1199" ht="15.75" customHeight="1">
      <c r="A1199" s="154"/>
      <c r="B1199" s="154"/>
      <c r="C1199" s="155"/>
      <c r="D1199" s="156"/>
      <c r="E1199" s="157"/>
      <c r="F1199" s="158"/>
      <c r="G1199" s="156"/>
      <c r="H1199" s="156"/>
      <c r="I1199" s="130"/>
      <c r="J1199" s="130"/>
      <c r="K1199" s="130"/>
    </row>
    <row r="1200" ht="15.75" customHeight="1">
      <c r="A1200" s="154"/>
      <c r="B1200" s="154"/>
      <c r="C1200" s="155"/>
      <c r="D1200" s="156"/>
      <c r="E1200" s="157"/>
      <c r="F1200" s="158"/>
      <c r="G1200" s="156"/>
      <c r="H1200" s="156"/>
      <c r="I1200" s="130"/>
      <c r="J1200" s="130"/>
      <c r="K1200" s="130"/>
    </row>
    <row r="1201" ht="15.75" customHeight="1">
      <c r="A1201" s="154"/>
      <c r="B1201" s="154"/>
      <c r="C1201" s="155"/>
      <c r="D1201" s="156"/>
      <c r="E1201" s="157"/>
      <c r="F1201" s="158"/>
      <c r="G1201" s="156"/>
      <c r="H1201" s="156"/>
      <c r="I1201" s="130"/>
      <c r="J1201" s="130"/>
      <c r="K1201" s="130"/>
    </row>
    <row r="1202" ht="15.75" customHeight="1">
      <c r="A1202" s="154"/>
      <c r="B1202" s="154"/>
      <c r="C1202" s="155"/>
      <c r="D1202" s="156"/>
      <c r="E1202" s="157"/>
      <c r="F1202" s="158"/>
      <c r="G1202" s="156"/>
      <c r="H1202" s="156"/>
      <c r="I1202" s="130"/>
      <c r="J1202" s="130"/>
      <c r="K1202" s="130"/>
    </row>
    <row r="1203" ht="15.75" customHeight="1">
      <c r="A1203" s="154"/>
      <c r="B1203" s="154"/>
      <c r="C1203" s="155"/>
      <c r="D1203" s="156"/>
      <c r="E1203" s="157"/>
      <c r="F1203" s="158"/>
      <c r="G1203" s="156"/>
      <c r="H1203" s="156"/>
      <c r="I1203" s="130"/>
      <c r="J1203" s="130"/>
      <c r="K1203" s="130"/>
    </row>
    <row r="1204" ht="15.75" customHeight="1">
      <c r="A1204" s="154"/>
      <c r="B1204" s="154"/>
      <c r="C1204" s="155"/>
      <c r="D1204" s="156"/>
      <c r="E1204" s="157"/>
      <c r="F1204" s="158"/>
      <c r="G1204" s="156"/>
      <c r="H1204" s="156"/>
      <c r="I1204" s="130"/>
      <c r="J1204" s="130"/>
      <c r="K1204" s="130"/>
    </row>
    <row r="1205" ht="15.75" customHeight="1">
      <c r="A1205" s="154"/>
      <c r="B1205" s="154"/>
      <c r="C1205" s="155"/>
      <c r="D1205" s="156"/>
      <c r="E1205" s="157"/>
      <c r="F1205" s="158"/>
      <c r="G1205" s="156"/>
      <c r="H1205" s="156"/>
      <c r="I1205" s="130"/>
      <c r="J1205" s="130"/>
      <c r="K1205" s="130"/>
    </row>
    <row r="1206" ht="15.75" customHeight="1">
      <c r="A1206" s="154"/>
      <c r="B1206" s="154"/>
      <c r="C1206" s="155"/>
      <c r="D1206" s="156"/>
      <c r="E1206" s="157"/>
      <c r="F1206" s="158"/>
      <c r="G1206" s="156"/>
      <c r="H1206" s="156"/>
      <c r="I1206" s="130"/>
      <c r="J1206" s="130"/>
      <c r="K1206" s="130"/>
    </row>
    <row r="1207" ht="15.75" customHeight="1">
      <c r="A1207" s="154"/>
      <c r="B1207" s="154"/>
      <c r="C1207" s="155"/>
      <c r="D1207" s="156"/>
      <c r="E1207" s="157"/>
      <c r="F1207" s="158"/>
      <c r="G1207" s="156"/>
      <c r="H1207" s="156"/>
      <c r="I1207" s="130"/>
      <c r="J1207" s="130"/>
      <c r="K1207" s="130"/>
    </row>
    <row r="1208" ht="15.75" customHeight="1">
      <c r="A1208" s="154"/>
      <c r="B1208" s="154"/>
      <c r="C1208" s="155"/>
      <c r="D1208" s="156"/>
      <c r="E1208" s="157"/>
      <c r="F1208" s="158"/>
      <c r="G1208" s="156"/>
      <c r="H1208" s="156"/>
      <c r="I1208" s="130"/>
      <c r="J1208" s="130"/>
      <c r="K1208" s="130"/>
    </row>
    <row r="1209" ht="15.75" customHeight="1">
      <c r="A1209" s="154"/>
      <c r="B1209" s="154"/>
      <c r="C1209" s="155"/>
      <c r="D1209" s="156"/>
      <c r="E1209" s="157"/>
      <c r="F1209" s="158"/>
      <c r="G1209" s="156"/>
      <c r="H1209" s="156"/>
      <c r="I1209" s="130"/>
      <c r="J1209" s="130"/>
      <c r="K1209" s="130"/>
    </row>
    <row r="1210" ht="15.75" customHeight="1">
      <c r="A1210" s="154"/>
      <c r="B1210" s="154"/>
      <c r="C1210" s="155"/>
      <c r="D1210" s="156"/>
      <c r="E1210" s="157"/>
      <c r="F1210" s="158"/>
      <c r="G1210" s="156"/>
      <c r="H1210" s="156"/>
      <c r="I1210" s="130"/>
      <c r="J1210" s="130"/>
      <c r="K1210" s="130"/>
    </row>
    <row r="1211" ht="15.75" customHeight="1">
      <c r="A1211" s="154"/>
      <c r="B1211" s="154"/>
      <c r="C1211" s="155"/>
      <c r="D1211" s="156"/>
      <c r="E1211" s="157"/>
      <c r="F1211" s="158"/>
      <c r="G1211" s="156"/>
      <c r="H1211" s="156"/>
      <c r="I1211" s="130"/>
      <c r="J1211" s="130"/>
      <c r="K1211" s="130"/>
    </row>
    <row r="1212" ht="15.75" customHeight="1">
      <c r="A1212" s="154"/>
      <c r="B1212" s="154"/>
      <c r="C1212" s="155"/>
      <c r="D1212" s="156"/>
      <c r="E1212" s="157"/>
      <c r="F1212" s="158"/>
      <c r="G1212" s="156"/>
      <c r="H1212" s="156"/>
      <c r="I1212" s="130"/>
      <c r="J1212" s="130"/>
      <c r="K1212" s="130"/>
    </row>
    <row r="1213" ht="15.75" customHeight="1">
      <c r="A1213" s="154"/>
      <c r="B1213" s="154"/>
      <c r="C1213" s="155"/>
      <c r="D1213" s="156"/>
      <c r="E1213" s="157"/>
      <c r="F1213" s="158"/>
      <c r="G1213" s="156"/>
      <c r="H1213" s="156"/>
      <c r="I1213" s="130"/>
      <c r="J1213" s="130"/>
      <c r="K1213" s="130"/>
    </row>
    <row r="1214" ht="15.75" customHeight="1">
      <c r="A1214" s="154"/>
      <c r="B1214" s="154"/>
      <c r="C1214" s="155"/>
      <c r="D1214" s="156"/>
      <c r="E1214" s="157"/>
      <c r="F1214" s="158"/>
      <c r="G1214" s="156"/>
      <c r="H1214" s="156"/>
      <c r="I1214" s="130"/>
      <c r="J1214" s="130"/>
      <c r="K1214" s="130"/>
    </row>
    <row r="1215" ht="15.75" customHeight="1">
      <c r="A1215" s="154"/>
      <c r="B1215" s="154"/>
      <c r="C1215" s="155"/>
      <c r="D1215" s="156"/>
      <c r="E1215" s="157"/>
      <c r="F1215" s="158"/>
      <c r="G1215" s="156"/>
      <c r="H1215" s="156"/>
      <c r="I1215" s="130"/>
      <c r="J1215" s="130"/>
      <c r="K1215" s="130"/>
    </row>
    <row r="1216" ht="15.75" customHeight="1">
      <c r="A1216" s="154"/>
      <c r="B1216" s="154"/>
      <c r="C1216" s="155"/>
      <c r="D1216" s="156"/>
      <c r="E1216" s="157"/>
      <c r="F1216" s="158"/>
      <c r="G1216" s="156"/>
      <c r="H1216" s="156"/>
      <c r="I1216" s="130"/>
      <c r="J1216" s="130"/>
      <c r="K1216" s="130"/>
    </row>
    <row r="1217" ht="15.75" customHeight="1">
      <c r="A1217" s="154"/>
      <c r="B1217" s="154"/>
      <c r="C1217" s="155"/>
      <c r="D1217" s="156"/>
      <c r="E1217" s="157"/>
      <c r="F1217" s="158"/>
      <c r="G1217" s="156"/>
      <c r="H1217" s="156"/>
      <c r="I1217" s="130"/>
      <c r="J1217" s="130"/>
      <c r="K1217" s="130"/>
    </row>
    <row r="1218" ht="15.75" customHeight="1">
      <c r="A1218" s="154"/>
      <c r="B1218" s="154"/>
      <c r="C1218" s="155"/>
      <c r="D1218" s="156"/>
      <c r="E1218" s="157"/>
      <c r="F1218" s="158"/>
      <c r="G1218" s="156"/>
      <c r="H1218" s="156"/>
      <c r="I1218" s="130"/>
      <c r="J1218" s="130"/>
      <c r="K1218" s="130"/>
    </row>
    <row r="1219" ht="15.75" customHeight="1">
      <c r="A1219" s="154"/>
      <c r="B1219" s="154"/>
      <c r="C1219" s="155"/>
      <c r="D1219" s="156"/>
      <c r="E1219" s="157"/>
      <c r="F1219" s="158"/>
      <c r="G1219" s="156"/>
      <c r="H1219" s="156"/>
      <c r="I1219" s="130"/>
      <c r="J1219" s="130"/>
      <c r="K1219" s="130"/>
    </row>
    <row r="1220" ht="15.75" customHeight="1">
      <c r="A1220" s="154"/>
      <c r="B1220" s="154"/>
      <c r="C1220" s="155"/>
      <c r="D1220" s="156"/>
      <c r="E1220" s="157"/>
      <c r="F1220" s="158"/>
      <c r="G1220" s="156"/>
      <c r="H1220" s="156"/>
      <c r="I1220" s="130"/>
      <c r="J1220" s="130"/>
      <c r="K1220" s="130"/>
    </row>
    <row r="1221" ht="15.75" customHeight="1">
      <c r="A1221" s="154"/>
      <c r="B1221" s="154"/>
      <c r="C1221" s="155"/>
      <c r="D1221" s="156"/>
      <c r="E1221" s="157"/>
      <c r="F1221" s="158"/>
      <c r="G1221" s="156"/>
      <c r="H1221" s="156"/>
      <c r="I1221" s="130"/>
      <c r="J1221" s="130"/>
      <c r="K1221" s="130"/>
    </row>
    <row r="1222" ht="15.75" customHeight="1">
      <c r="A1222" s="154"/>
      <c r="B1222" s="154"/>
      <c r="C1222" s="155"/>
      <c r="D1222" s="156"/>
      <c r="E1222" s="157"/>
      <c r="F1222" s="158"/>
      <c r="G1222" s="156"/>
      <c r="H1222" s="156"/>
      <c r="I1222" s="130"/>
      <c r="J1222" s="130"/>
      <c r="K1222" s="130"/>
    </row>
    <row r="1223" ht="15.75" customHeight="1">
      <c r="A1223" s="154"/>
      <c r="B1223" s="154"/>
      <c r="C1223" s="155"/>
      <c r="D1223" s="156"/>
      <c r="E1223" s="157"/>
      <c r="F1223" s="158"/>
      <c r="G1223" s="156"/>
      <c r="H1223" s="156"/>
      <c r="I1223" s="130"/>
      <c r="J1223" s="130"/>
      <c r="K1223" s="130"/>
    </row>
    <row r="1224" ht="15.75" customHeight="1">
      <c r="A1224" s="154"/>
      <c r="B1224" s="154"/>
      <c r="C1224" s="155"/>
      <c r="D1224" s="156"/>
      <c r="E1224" s="157"/>
      <c r="F1224" s="158"/>
      <c r="G1224" s="156"/>
      <c r="H1224" s="156"/>
      <c r="I1224" s="130"/>
      <c r="J1224" s="130"/>
      <c r="K1224" s="130"/>
    </row>
    <row r="1225" ht="15.75" customHeight="1">
      <c r="A1225" s="154"/>
      <c r="B1225" s="154"/>
      <c r="C1225" s="155"/>
      <c r="D1225" s="156"/>
      <c r="E1225" s="157"/>
      <c r="F1225" s="158"/>
      <c r="G1225" s="156"/>
      <c r="H1225" s="156"/>
      <c r="I1225" s="130"/>
      <c r="J1225" s="130"/>
      <c r="K1225" s="130"/>
    </row>
    <row r="1226" ht="15.75" customHeight="1">
      <c r="A1226" s="154"/>
      <c r="B1226" s="154"/>
      <c r="C1226" s="155"/>
      <c r="D1226" s="156"/>
      <c r="E1226" s="157"/>
      <c r="F1226" s="158"/>
      <c r="G1226" s="156"/>
      <c r="H1226" s="156"/>
      <c r="I1226" s="130"/>
      <c r="J1226" s="130"/>
      <c r="K1226" s="130"/>
    </row>
    <row r="1227" ht="15.75" customHeight="1">
      <c r="A1227" s="154"/>
      <c r="B1227" s="154"/>
      <c r="C1227" s="155"/>
      <c r="D1227" s="156"/>
      <c r="E1227" s="157"/>
      <c r="F1227" s="158"/>
      <c r="G1227" s="156"/>
      <c r="H1227" s="156"/>
      <c r="I1227" s="130"/>
      <c r="J1227" s="130"/>
      <c r="K1227" s="130"/>
    </row>
    <row r="1228" ht="15.75" customHeight="1">
      <c r="A1228" s="154"/>
      <c r="B1228" s="154"/>
      <c r="C1228" s="155"/>
      <c r="D1228" s="156"/>
      <c r="E1228" s="157"/>
      <c r="F1228" s="158"/>
      <c r="G1228" s="156"/>
      <c r="H1228" s="156"/>
      <c r="I1228" s="130"/>
      <c r="J1228" s="130"/>
      <c r="K1228" s="130"/>
    </row>
    <row r="1229" ht="15.75" customHeight="1">
      <c r="A1229" s="154"/>
      <c r="B1229" s="154"/>
      <c r="C1229" s="155"/>
      <c r="D1229" s="156"/>
      <c r="E1229" s="157"/>
      <c r="F1229" s="158"/>
      <c r="G1229" s="156"/>
      <c r="H1229" s="156"/>
      <c r="I1229" s="130"/>
      <c r="J1229" s="130"/>
      <c r="K1229" s="130"/>
    </row>
    <row r="1230" ht="15.75" customHeight="1">
      <c r="A1230" s="154"/>
      <c r="B1230" s="154"/>
      <c r="C1230" s="155"/>
      <c r="D1230" s="156"/>
      <c r="E1230" s="157"/>
      <c r="F1230" s="158"/>
      <c r="G1230" s="156"/>
      <c r="H1230" s="156"/>
      <c r="I1230" s="130"/>
      <c r="J1230" s="130"/>
      <c r="K1230" s="130"/>
    </row>
    <row r="1231" ht="15.75" customHeight="1">
      <c r="A1231" s="154"/>
      <c r="B1231" s="154"/>
      <c r="C1231" s="155"/>
      <c r="D1231" s="156"/>
      <c r="E1231" s="157"/>
      <c r="F1231" s="158"/>
      <c r="G1231" s="156"/>
      <c r="H1231" s="156"/>
      <c r="I1231" s="130"/>
      <c r="J1231" s="130"/>
      <c r="K1231" s="130"/>
    </row>
    <row r="1232" ht="15.75" customHeight="1">
      <c r="A1232" s="154"/>
      <c r="B1232" s="154"/>
      <c r="C1232" s="155"/>
      <c r="D1232" s="156"/>
      <c r="E1232" s="157"/>
      <c r="F1232" s="158"/>
      <c r="G1232" s="156"/>
      <c r="H1232" s="156"/>
      <c r="I1232" s="130"/>
      <c r="J1232" s="130"/>
      <c r="K1232" s="130"/>
    </row>
    <row r="1233" ht="15.75" customHeight="1">
      <c r="A1233" s="154"/>
      <c r="B1233" s="154"/>
      <c r="C1233" s="155"/>
      <c r="D1233" s="156"/>
      <c r="E1233" s="157"/>
      <c r="F1233" s="158"/>
      <c r="G1233" s="156"/>
      <c r="H1233" s="156"/>
      <c r="I1233" s="130"/>
      <c r="J1233" s="130"/>
      <c r="K1233" s="130"/>
    </row>
    <row r="1234" ht="15.75" customHeight="1">
      <c r="A1234" s="154"/>
      <c r="B1234" s="154"/>
      <c r="C1234" s="155"/>
      <c r="D1234" s="156"/>
      <c r="E1234" s="157"/>
      <c r="F1234" s="158"/>
      <c r="G1234" s="156"/>
      <c r="H1234" s="156"/>
      <c r="I1234" s="130"/>
      <c r="J1234" s="130"/>
      <c r="K1234" s="130"/>
    </row>
    <row r="1235" ht="15.75" customHeight="1">
      <c r="A1235" s="154"/>
      <c r="B1235" s="154"/>
      <c r="C1235" s="155"/>
      <c r="D1235" s="156"/>
      <c r="E1235" s="157"/>
      <c r="F1235" s="158"/>
      <c r="G1235" s="156"/>
      <c r="H1235" s="156"/>
      <c r="I1235" s="130"/>
      <c r="J1235" s="130"/>
      <c r="K1235" s="130"/>
    </row>
    <row r="1236" ht="15.75" customHeight="1">
      <c r="A1236" s="154"/>
      <c r="B1236" s="154"/>
      <c r="C1236" s="155"/>
      <c r="D1236" s="156"/>
      <c r="E1236" s="157"/>
      <c r="F1236" s="158"/>
      <c r="G1236" s="156"/>
      <c r="H1236" s="156"/>
      <c r="I1236" s="130"/>
      <c r="J1236" s="130"/>
      <c r="K1236" s="130"/>
    </row>
    <row r="1237" ht="15.75" customHeight="1">
      <c r="A1237" s="154"/>
      <c r="B1237" s="154"/>
      <c r="C1237" s="155"/>
      <c r="D1237" s="156"/>
      <c r="E1237" s="157"/>
      <c r="F1237" s="158"/>
      <c r="G1237" s="156"/>
      <c r="H1237" s="156"/>
      <c r="I1237" s="130"/>
      <c r="J1237" s="130"/>
      <c r="K1237" s="130"/>
    </row>
    <row r="1238" ht="15.75" customHeight="1">
      <c r="A1238" s="154"/>
      <c r="B1238" s="154"/>
      <c r="C1238" s="155"/>
      <c r="D1238" s="156"/>
      <c r="E1238" s="157"/>
      <c r="F1238" s="158"/>
      <c r="G1238" s="156"/>
      <c r="H1238" s="156"/>
      <c r="I1238" s="130"/>
      <c r="J1238" s="130"/>
      <c r="K1238" s="130"/>
    </row>
    <row r="1239" ht="15.75" customHeight="1">
      <c r="A1239" s="154"/>
      <c r="B1239" s="154"/>
      <c r="C1239" s="155"/>
      <c r="D1239" s="156"/>
      <c r="E1239" s="157"/>
      <c r="F1239" s="158"/>
      <c r="G1239" s="156"/>
      <c r="H1239" s="156"/>
      <c r="I1239" s="130"/>
      <c r="J1239" s="130"/>
      <c r="K1239" s="130"/>
    </row>
    <row r="1240" ht="15.75" customHeight="1">
      <c r="A1240" s="154"/>
      <c r="B1240" s="154"/>
      <c r="C1240" s="155"/>
      <c r="D1240" s="156"/>
      <c r="E1240" s="157"/>
      <c r="F1240" s="158"/>
      <c r="G1240" s="156"/>
      <c r="H1240" s="156"/>
      <c r="I1240" s="130"/>
      <c r="J1240" s="130"/>
      <c r="K1240" s="130"/>
    </row>
    <row r="1241" ht="15.75" customHeight="1">
      <c r="A1241" s="154"/>
      <c r="B1241" s="154"/>
      <c r="C1241" s="155"/>
      <c r="D1241" s="156"/>
      <c r="E1241" s="157"/>
      <c r="F1241" s="158"/>
      <c r="G1241" s="156"/>
      <c r="H1241" s="156"/>
      <c r="I1241" s="130"/>
      <c r="J1241" s="130"/>
      <c r="K1241" s="130"/>
    </row>
    <row r="1242" ht="15.75" customHeight="1">
      <c r="A1242" s="154"/>
      <c r="B1242" s="154"/>
      <c r="C1242" s="155"/>
      <c r="D1242" s="156"/>
      <c r="E1242" s="157"/>
      <c r="F1242" s="158"/>
      <c r="G1242" s="156"/>
      <c r="H1242" s="156"/>
      <c r="I1242" s="130"/>
      <c r="J1242" s="130"/>
      <c r="K1242" s="130"/>
    </row>
    <row r="1243" ht="15.75" customHeight="1">
      <c r="A1243" s="154"/>
      <c r="B1243" s="154"/>
      <c r="C1243" s="155"/>
      <c r="D1243" s="156"/>
      <c r="E1243" s="157"/>
      <c r="F1243" s="158"/>
      <c r="G1243" s="156"/>
      <c r="H1243" s="156"/>
      <c r="I1243" s="130"/>
      <c r="J1243" s="130"/>
      <c r="K1243" s="130"/>
    </row>
    <row r="1244" ht="15.75" customHeight="1">
      <c r="A1244" s="154"/>
      <c r="B1244" s="154"/>
      <c r="C1244" s="155"/>
      <c r="D1244" s="156"/>
      <c r="E1244" s="157"/>
      <c r="F1244" s="158"/>
      <c r="G1244" s="156"/>
      <c r="H1244" s="156"/>
      <c r="I1244" s="130"/>
      <c r="J1244" s="130"/>
      <c r="K1244" s="130"/>
    </row>
    <row r="1245" ht="15.75" customHeight="1">
      <c r="A1245" s="154"/>
      <c r="B1245" s="154"/>
      <c r="C1245" s="155"/>
      <c r="D1245" s="156"/>
      <c r="E1245" s="157"/>
      <c r="F1245" s="158"/>
      <c r="G1245" s="156"/>
      <c r="H1245" s="156"/>
      <c r="I1245" s="130"/>
      <c r="J1245" s="130"/>
      <c r="K1245" s="130"/>
    </row>
    <row r="1246" ht="15.75" customHeight="1">
      <c r="A1246" s="154"/>
      <c r="B1246" s="154"/>
      <c r="C1246" s="155"/>
      <c r="D1246" s="156"/>
      <c r="E1246" s="157"/>
      <c r="F1246" s="158"/>
      <c r="G1246" s="156"/>
      <c r="H1246" s="156"/>
      <c r="I1246" s="130"/>
      <c r="J1246" s="130"/>
      <c r="K1246" s="130"/>
    </row>
    <row r="1247" ht="15.75" customHeight="1">
      <c r="A1247" s="154"/>
      <c r="B1247" s="154"/>
      <c r="C1247" s="155"/>
      <c r="D1247" s="156"/>
      <c r="E1247" s="157"/>
      <c r="F1247" s="158"/>
      <c r="G1247" s="156"/>
      <c r="H1247" s="156"/>
      <c r="I1247" s="130"/>
      <c r="J1247" s="130"/>
      <c r="K1247" s="130"/>
    </row>
    <row r="1248" ht="15.75" customHeight="1">
      <c r="A1248" s="154"/>
      <c r="B1248" s="154"/>
      <c r="C1248" s="155"/>
      <c r="D1248" s="156"/>
      <c r="E1248" s="157"/>
      <c r="F1248" s="158"/>
      <c r="G1248" s="156"/>
      <c r="H1248" s="156"/>
      <c r="I1248" s="130"/>
      <c r="J1248" s="130"/>
      <c r="K1248" s="130"/>
    </row>
    <row r="1249" ht="15.75" customHeight="1">
      <c r="A1249" s="154"/>
      <c r="B1249" s="154"/>
      <c r="C1249" s="155"/>
      <c r="D1249" s="156"/>
      <c r="E1249" s="157"/>
      <c r="F1249" s="158"/>
      <c r="G1249" s="156"/>
      <c r="H1249" s="156"/>
      <c r="I1249" s="130"/>
      <c r="J1249" s="130"/>
      <c r="K1249" s="130"/>
    </row>
    <row r="1250" ht="15.75" customHeight="1">
      <c r="A1250" s="154"/>
      <c r="B1250" s="154"/>
      <c r="C1250" s="155"/>
      <c r="D1250" s="156"/>
      <c r="E1250" s="157"/>
      <c r="F1250" s="158"/>
      <c r="G1250" s="156"/>
      <c r="H1250" s="156"/>
      <c r="I1250" s="130"/>
      <c r="J1250" s="130"/>
      <c r="K1250" s="130"/>
    </row>
    <row r="1251" ht="15.75" customHeight="1">
      <c r="A1251" s="154"/>
      <c r="B1251" s="154"/>
      <c r="C1251" s="155"/>
      <c r="D1251" s="156"/>
      <c r="E1251" s="157"/>
      <c r="F1251" s="158"/>
      <c r="G1251" s="156"/>
      <c r="H1251" s="156"/>
      <c r="I1251" s="130"/>
      <c r="J1251" s="130"/>
      <c r="K1251" s="130"/>
    </row>
    <row r="1252" ht="15.75" customHeight="1">
      <c r="A1252" s="154"/>
      <c r="B1252" s="154"/>
      <c r="C1252" s="155"/>
      <c r="D1252" s="156"/>
      <c r="E1252" s="157"/>
      <c r="F1252" s="158"/>
      <c r="G1252" s="156"/>
      <c r="H1252" s="156"/>
      <c r="I1252" s="130"/>
      <c r="J1252" s="130"/>
      <c r="K1252" s="130"/>
    </row>
    <row r="1253" ht="15.75" customHeight="1">
      <c r="A1253" s="154"/>
      <c r="B1253" s="154"/>
      <c r="C1253" s="155"/>
      <c r="D1253" s="156"/>
      <c r="E1253" s="157"/>
      <c r="F1253" s="158"/>
      <c r="G1253" s="156"/>
      <c r="H1253" s="156"/>
      <c r="I1253" s="130"/>
      <c r="J1253" s="130"/>
      <c r="K1253" s="130"/>
    </row>
    <row r="1254" ht="15.75" customHeight="1">
      <c r="A1254" s="154"/>
      <c r="B1254" s="154"/>
      <c r="C1254" s="155"/>
      <c r="D1254" s="156"/>
      <c r="E1254" s="157"/>
      <c r="F1254" s="158"/>
      <c r="G1254" s="156"/>
      <c r="H1254" s="156"/>
      <c r="I1254" s="130"/>
      <c r="J1254" s="130"/>
      <c r="K1254" s="130"/>
    </row>
    <row r="1255" ht="15.75" customHeight="1">
      <c r="A1255" s="154"/>
      <c r="B1255" s="154"/>
      <c r="C1255" s="155"/>
      <c r="D1255" s="156"/>
      <c r="E1255" s="157"/>
      <c r="F1255" s="158"/>
      <c r="G1255" s="156"/>
      <c r="H1255" s="156"/>
      <c r="I1255" s="130"/>
      <c r="J1255" s="130"/>
      <c r="K1255" s="130"/>
    </row>
    <row r="1256" ht="15.75" customHeight="1">
      <c r="A1256" s="154"/>
      <c r="B1256" s="154"/>
      <c r="C1256" s="155"/>
      <c r="D1256" s="156"/>
      <c r="E1256" s="157"/>
      <c r="F1256" s="158"/>
      <c r="G1256" s="156"/>
      <c r="H1256" s="156"/>
      <c r="I1256" s="130"/>
      <c r="J1256" s="130"/>
      <c r="K1256" s="130"/>
    </row>
    <row r="1257" ht="15.75" customHeight="1">
      <c r="A1257" s="154"/>
      <c r="B1257" s="154"/>
      <c r="C1257" s="155"/>
      <c r="D1257" s="156"/>
      <c r="E1257" s="157"/>
      <c r="F1257" s="158"/>
      <c r="G1257" s="156"/>
      <c r="H1257" s="156"/>
      <c r="I1257" s="130"/>
      <c r="J1257" s="130"/>
      <c r="K1257" s="130"/>
    </row>
    <row r="1258" ht="15.75" customHeight="1">
      <c r="A1258" s="154"/>
      <c r="B1258" s="154"/>
      <c r="C1258" s="155"/>
      <c r="D1258" s="156"/>
      <c r="E1258" s="157"/>
      <c r="F1258" s="158"/>
      <c r="G1258" s="156"/>
      <c r="H1258" s="156"/>
      <c r="I1258" s="130"/>
      <c r="J1258" s="130"/>
      <c r="K1258" s="130"/>
    </row>
    <row r="1259" ht="15.75" customHeight="1">
      <c r="A1259" s="154"/>
      <c r="B1259" s="154"/>
      <c r="C1259" s="155"/>
      <c r="D1259" s="156"/>
      <c r="E1259" s="157"/>
      <c r="F1259" s="158"/>
      <c r="G1259" s="156"/>
      <c r="H1259" s="156"/>
      <c r="I1259" s="130"/>
      <c r="J1259" s="130"/>
      <c r="K1259" s="130"/>
    </row>
    <row r="1260" ht="15.75" customHeight="1">
      <c r="A1260" s="154"/>
      <c r="B1260" s="154"/>
      <c r="C1260" s="155"/>
      <c r="D1260" s="156"/>
      <c r="E1260" s="157"/>
      <c r="F1260" s="158"/>
      <c r="G1260" s="156"/>
      <c r="H1260" s="156"/>
      <c r="I1260" s="130"/>
      <c r="J1260" s="130"/>
      <c r="K1260" s="130"/>
    </row>
    <row r="1261" ht="15.75" customHeight="1">
      <c r="A1261" s="154"/>
      <c r="B1261" s="154"/>
      <c r="C1261" s="155"/>
      <c r="D1261" s="156"/>
      <c r="E1261" s="157"/>
      <c r="F1261" s="158"/>
      <c r="G1261" s="156"/>
      <c r="H1261" s="156"/>
      <c r="I1261" s="130"/>
      <c r="J1261" s="130"/>
      <c r="K1261" s="130"/>
    </row>
    <row r="1262" ht="15.75" customHeight="1">
      <c r="A1262" s="154"/>
      <c r="B1262" s="154"/>
      <c r="C1262" s="155"/>
      <c r="D1262" s="156"/>
      <c r="E1262" s="157"/>
      <c r="F1262" s="158"/>
      <c r="G1262" s="156"/>
      <c r="H1262" s="156"/>
      <c r="I1262" s="130"/>
      <c r="J1262" s="130"/>
      <c r="K1262" s="130"/>
    </row>
    <row r="1263" ht="15.75" customHeight="1">
      <c r="A1263" s="154"/>
      <c r="B1263" s="154"/>
      <c r="C1263" s="155"/>
      <c r="D1263" s="156"/>
      <c r="E1263" s="157"/>
      <c r="F1263" s="158"/>
      <c r="G1263" s="156"/>
      <c r="H1263" s="156"/>
      <c r="I1263" s="130"/>
      <c r="J1263" s="130"/>
      <c r="K1263" s="130"/>
    </row>
    <row r="1264" ht="15.75" customHeight="1">
      <c r="A1264" s="154"/>
      <c r="B1264" s="154"/>
      <c r="C1264" s="155"/>
      <c r="D1264" s="156"/>
      <c r="E1264" s="157"/>
      <c r="F1264" s="158"/>
      <c r="G1264" s="156"/>
      <c r="H1264" s="156"/>
      <c r="I1264" s="130"/>
      <c r="J1264" s="130"/>
      <c r="K1264" s="130"/>
    </row>
    <row r="1265" ht="15.75" customHeight="1">
      <c r="A1265" s="154"/>
      <c r="B1265" s="154"/>
      <c r="C1265" s="155"/>
      <c r="D1265" s="156"/>
      <c r="E1265" s="157"/>
      <c r="F1265" s="158"/>
      <c r="G1265" s="156"/>
      <c r="H1265" s="156"/>
      <c r="I1265" s="130"/>
      <c r="J1265" s="130"/>
      <c r="K1265" s="130"/>
    </row>
    <row r="1266" ht="15.75" customHeight="1">
      <c r="A1266" s="154"/>
      <c r="B1266" s="154"/>
      <c r="C1266" s="155"/>
      <c r="D1266" s="156"/>
      <c r="E1266" s="157"/>
      <c r="F1266" s="158"/>
      <c r="G1266" s="156"/>
      <c r="H1266" s="156"/>
      <c r="I1266" s="130"/>
      <c r="J1266" s="130"/>
      <c r="K1266" s="130"/>
    </row>
    <row r="1267" ht="15.75" customHeight="1">
      <c r="A1267" s="154"/>
      <c r="B1267" s="154"/>
      <c r="C1267" s="155"/>
      <c r="D1267" s="156"/>
      <c r="E1267" s="157"/>
      <c r="F1267" s="158"/>
      <c r="G1267" s="156"/>
      <c r="H1267" s="156"/>
      <c r="I1267" s="130"/>
      <c r="J1267" s="130"/>
      <c r="K1267" s="130"/>
    </row>
    <row r="1268" ht="15.75" customHeight="1">
      <c r="A1268" s="154"/>
      <c r="B1268" s="154"/>
      <c r="C1268" s="155"/>
      <c r="D1268" s="156"/>
      <c r="E1268" s="157"/>
      <c r="F1268" s="158"/>
      <c r="G1268" s="156"/>
      <c r="H1268" s="156"/>
      <c r="I1268" s="130"/>
      <c r="J1268" s="130"/>
      <c r="K1268" s="130"/>
    </row>
    <row r="1269" ht="15.75" customHeight="1">
      <c r="A1269" s="154"/>
      <c r="B1269" s="154"/>
      <c r="C1269" s="155"/>
      <c r="D1269" s="156"/>
      <c r="E1269" s="157"/>
      <c r="F1269" s="158"/>
      <c r="G1269" s="156"/>
      <c r="H1269" s="156"/>
      <c r="I1269" s="130"/>
      <c r="J1269" s="130"/>
      <c r="K1269" s="130"/>
    </row>
    <row r="1270" ht="15.75" customHeight="1">
      <c r="A1270" s="154"/>
      <c r="B1270" s="154"/>
      <c r="C1270" s="155"/>
      <c r="D1270" s="156"/>
      <c r="E1270" s="157"/>
      <c r="F1270" s="158"/>
      <c r="G1270" s="156"/>
      <c r="H1270" s="156"/>
      <c r="I1270" s="130"/>
      <c r="J1270" s="130"/>
      <c r="K1270" s="130"/>
    </row>
    <row r="1271" ht="15.75" customHeight="1">
      <c r="A1271" s="154"/>
      <c r="B1271" s="154"/>
      <c r="C1271" s="155"/>
      <c r="D1271" s="156"/>
      <c r="E1271" s="157"/>
      <c r="F1271" s="158"/>
      <c r="G1271" s="156"/>
      <c r="H1271" s="156"/>
      <c r="I1271" s="130"/>
      <c r="J1271" s="130"/>
      <c r="K1271" s="130"/>
    </row>
    <row r="1272" ht="15.75" customHeight="1">
      <c r="A1272" s="154"/>
      <c r="B1272" s="154"/>
      <c r="C1272" s="155"/>
      <c r="D1272" s="156"/>
      <c r="E1272" s="157"/>
      <c r="F1272" s="158"/>
      <c r="G1272" s="156"/>
      <c r="H1272" s="156"/>
      <c r="I1272" s="130"/>
      <c r="J1272" s="130"/>
      <c r="K1272" s="130"/>
    </row>
    <row r="1273" ht="15.75" customHeight="1">
      <c r="A1273" s="154"/>
      <c r="B1273" s="154"/>
      <c r="C1273" s="155"/>
      <c r="D1273" s="156"/>
      <c r="E1273" s="157"/>
      <c r="F1273" s="158"/>
      <c r="G1273" s="156"/>
      <c r="H1273" s="156"/>
      <c r="I1273" s="130"/>
      <c r="J1273" s="130"/>
      <c r="K1273" s="130"/>
    </row>
    <row r="1274" ht="15.75" customHeight="1">
      <c r="A1274" s="154"/>
      <c r="B1274" s="154"/>
      <c r="C1274" s="155"/>
      <c r="D1274" s="156"/>
      <c r="E1274" s="157"/>
      <c r="F1274" s="158"/>
      <c r="G1274" s="156"/>
      <c r="H1274" s="156"/>
      <c r="I1274" s="130"/>
      <c r="J1274" s="130"/>
      <c r="K1274" s="130"/>
    </row>
    <row r="1275" ht="15.75" customHeight="1">
      <c r="A1275" s="154"/>
      <c r="B1275" s="154"/>
      <c r="C1275" s="155"/>
      <c r="D1275" s="156"/>
      <c r="E1275" s="157"/>
      <c r="F1275" s="158"/>
      <c r="G1275" s="156"/>
      <c r="H1275" s="156"/>
      <c r="I1275" s="130"/>
      <c r="J1275" s="130"/>
      <c r="K1275" s="130"/>
    </row>
    <row r="1276" ht="15.75" customHeight="1">
      <c r="A1276" s="154"/>
      <c r="B1276" s="154"/>
      <c r="C1276" s="155"/>
      <c r="D1276" s="156"/>
      <c r="E1276" s="157"/>
      <c r="F1276" s="158"/>
      <c r="G1276" s="156"/>
      <c r="H1276" s="156"/>
      <c r="I1276" s="130"/>
      <c r="J1276" s="130"/>
      <c r="K1276" s="130"/>
    </row>
    <row r="1277" ht="15.75" customHeight="1">
      <c r="A1277" s="154"/>
      <c r="B1277" s="154"/>
      <c r="C1277" s="155"/>
      <c r="D1277" s="156"/>
      <c r="E1277" s="157"/>
      <c r="F1277" s="158"/>
      <c r="G1277" s="156"/>
      <c r="H1277" s="156"/>
      <c r="I1277" s="130"/>
      <c r="J1277" s="130"/>
      <c r="K1277" s="130"/>
    </row>
    <row r="1278" ht="15.75" customHeight="1">
      <c r="A1278" s="154"/>
      <c r="B1278" s="154"/>
      <c r="C1278" s="155"/>
      <c r="D1278" s="156"/>
      <c r="E1278" s="157"/>
      <c r="F1278" s="158"/>
      <c r="G1278" s="156"/>
      <c r="H1278" s="156"/>
      <c r="I1278" s="130"/>
      <c r="J1278" s="130"/>
      <c r="K1278" s="130"/>
    </row>
    <row r="1279" ht="15.75" customHeight="1">
      <c r="A1279" s="154"/>
      <c r="B1279" s="154"/>
      <c r="C1279" s="155"/>
      <c r="D1279" s="156"/>
      <c r="E1279" s="157"/>
      <c r="F1279" s="158"/>
      <c r="G1279" s="156"/>
      <c r="H1279" s="156"/>
      <c r="I1279" s="130"/>
      <c r="J1279" s="130"/>
      <c r="K1279" s="130"/>
    </row>
    <row r="1280" ht="15.75" customHeight="1">
      <c r="A1280" s="154"/>
      <c r="B1280" s="154"/>
      <c r="C1280" s="155"/>
      <c r="D1280" s="156"/>
      <c r="E1280" s="157"/>
      <c r="F1280" s="158"/>
      <c r="G1280" s="156"/>
      <c r="H1280" s="156"/>
      <c r="I1280" s="130"/>
      <c r="J1280" s="130"/>
      <c r="K1280" s="130"/>
    </row>
    <row r="1281" ht="15.75" customHeight="1">
      <c r="A1281" s="154"/>
      <c r="B1281" s="154"/>
      <c r="C1281" s="155"/>
      <c r="D1281" s="156"/>
      <c r="E1281" s="157"/>
      <c r="F1281" s="158"/>
      <c r="G1281" s="156"/>
      <c r="H1281" s="156"/>
      <c r="I1281" s="130"/>
      <c r="J1281" s="130"/>
      <c r="K1281" s="130"/>
    </row>
    <row r="1282" ht="15.75" customHeight="1">
      <c r="A1282" s="154"/>
      <c r="B1282" s="154"/>
      <c r="C1282" s="155"/>
      <c r="D1282" s="156"/>
      <c r="E1282" s="157"/>
      <c r="F1282" s="158"/>
      <c r="G1282" s="156"/>
      <c r="H1282" s="156"/>
      <c r="I1282" s="130"/>
      <c r="J1282" s="130"/>
      <c r="K1282" s="130"/>
    </row>
    <row r="1283" ht="15.75" customHeight="1">
      <c r="A1283" s="154"/>
      <c r="B1283" s="154"/>
      <c r="C1283" s="155"/>
      <c r="D1283" s="156"/>
      <c r="E1283" s="157"/>
      <c r="F1283" s="158"/>
      <c r="G1283" s="156"/>
      <c r="H1283" s="156"/>
      <c r="I1283" s="130"/>
      <c r="J1283" s="130"/>
      <c r="K1283" s="130"/>
    </row>
    <row r="1284" ht="15.75" customHeight="1">
      <c r="A1284" s="154"/>
      <c r="B1284" s="154"/>
      <c r="C1284" s="155"/>
      <c r="D1284" s="156"/>
      <c r="E1284" s="157"/>
      <c r="F1284" s="158"/>
      <c r="G1284" s="156"/>
      <c r="H1284" s="156"/>
      <c r="I1284" s="130"/>
      <c r="J1284" s="130"/>
      <c r="K1284" s="130"/>
    </row>
    <row r="1285" ht="15.75" customHeight="1">
      <c r="A1285" s="154"/>
      <c r="B1285" s="154"/>
      <c r="C1285" s="155"/>
      <c r="D1285" s="156"/>
      <c r="E1285" s="157"/>
      <c r="F1285" s="158"/>
      <c r="G1285" s="156"/>
      <c r="H1285" s="156"/>
      <c r="I1285" s="130"/>
      <c r="J1285" s="130"/>
      <c r="K1285" s="130"/>
    </row>
    <row r="1286" ht="15.75" customHeight="1">
      <c r="A1286" s="154"/>
      <c r="B1286" s="154"/>
      <c r="C1286" s="155"/>
      <c r="D1286" s="156"/>
      <c r="E1286" s="157"/>
      <c r="F1286" s="158"/>
      <c r="G1286" s="156"/>
      <c r="H1286" s="156"/>
      <c r="I1286" s="130"/>
      <c r="J1286" s="130"/>
      <c r="K1286" s="130"/>
    </row>
    <row r="1287" ht="15.75" customHeight="1">
      <c r="A1287" s="154"/>
      <c r="B1287" s="154"/>
      <c r="C1287" s="155"/>
      <c r="D1287" s="156"/>
      <c r="E1287" s="157"/>
      <c r="F1287" s="158"/>
      <c r="G1287" s="156"/>
      <c r="H1287" s="156"/>
      <c r="I1287" s="130"/>
      <c r="J1287" s="130"/>
      <c r="K1287" s="130"/>
    </row>
    <row r="1288" ht="15.75" customHeight="1">
      <c r="A1288" s="154"/>
      <c r="B1288" s="154"/>
      <c r="C1288" s="155"/>
      <c r="D1288" s="156"/>
      <c r="E1288" s="157"/>
      <c r="F1288" s="158"/>
      <c r="G1288" s="156"/>
      <c r="H1288" s="156"/>
      <c r="I1288" s="130"/>
      <c r="J1288" s="130"/>
      <c r="K1288" s="130"/>
    </row>
    <row r="1289" ht="15.75" customHeight="1">
      <c r="A1289" s="154"/>
      <c r="B1289" s="154"/>
      <c r="C1289" s="155"/>
      <c r="D1289" s="156"/>
      <c r="E1289" s="157"/>
      <c r="F1289" s="158"/>
      <c r="G1289" s="156"/>
      <c r="H1289" s="156"/>
      <c r="I1289" s="130"/>
      <c r="J1289" s="130"/>
      <c r="K1289" s="130"/>
    </row>
    <row r="1290" ht="15.75" customHeight="1">
      <c r="A1290" s="154"/>
      <c r="B1290" s="154"/>
      <c r="C1290" s="155"/>
      <c r="D1290" s="156"/>
      <c r="E1290" s="157"/>
      <c r="F1290" s="158"/>
      <c r="G1290" s="156"/>
      <c r="H1290" s="156"/>
      <c r="I1290" s="130"/>
      <c r="J1290" s="130"/>
      <c r="K1290" s="130"/>
    </row>
    <row r="1291" ht="15.75" customHeight="1">
      <c r="A1291" s="154"/>
      <c r="B1291" s="154"/>
      <c r="C1291" s="155"/>
      <c r="D1291" s="156"/>
      <c r="E1291" s="157"/>
      <c r="F1291" s="158"/>
      <c r="G1291" s="156"/>
      <c r="H1291" s="156"/>
      <c r="I1291" s="130"/>
      <c r="J1291" s="130"/>
      <c r="K1291" s="130"/>
    </row>
    <row r="1292" ht="15.75" customHeight="1">
      <c r="A1292" s="154"/>
      <c r="B1292" s="154"/>
      <c r="C1292" s="155"/>
      <c r="D1292" s="156"/>
      <c r="E1292" s="157"/>
      <c r="F1292" s="158"/>
      <c r="G1292" s="156"/>
      <c r="H1292" s="156"/>
      <c r="I1292" s="130"/>
      <c r="J1292" s="130"/>
      <c r="K1292" s="130"/>
    </row>
    <row r="1293" ht="15.75" customHeight="1">
      <c r="A1293" s="154"/>
      <c r="B1293" s="154"/>
      <c r="C1293" s="155"/>
      <c r="D1293" s="156"/>
      <c r="E1293" s="157"/>
      <c r="F1293" s="158"/>
      <c r="G1293" s="156"/>
      <c r="H1293" s="156"/>
      <c r="I1293" s="130"/>
      <c r="J1293" s="130"/>
      <c r="K1293" s="130"/>
    </row>
    <row r="1294" ht="15.75" customHeight="1">
      <c r="A1294" s="154"/>
      <c r="B1294" s="154"/>
      <c r="C1294" s="155"/>
      <c r="D1294" s="156"/>
      <c r="E1294" s="157"/>
      <c r="F1294" s="158"/>
      <c r="G1294" s="156"/>
      <c r="H1294" s="156"/>
      <c r="I1294" s="130"/>
      <c r="J1294" s="130"/>
      <c r="K1294" s="130"/>
    </row>
    <row r="1295" ht="15.75" customHeight="1">
      <c r="A1295" s="154"/>
      <c r="B1295" s="154"/>
      <c r="C1295" s="155"/>
      <c r="D1295" s="156"/>
      <c r="E1295" s="157"/>
      <c r="F1295" s="158"/>
      <c r="G1295" s="156"/>
      <c r="H1295" s="156"/>
      <c r="I1295" s="130"/>
      <c r="J1295" s="130"/>
      <c r="K1295" s="130"/>
    </row>
    <row r="1296" ht="15.75" customHeight="1">
      <c r="A1296" s="154"/>
      <c r="B1296" s="154"/>
      <c r="C1296" s="155"/>
      <c r="D1296" s="156"/>
      <c r="E1296" s="157"/>
      <c r="F1296" s="158"/>
      <c r="G1296" s="156"/>
      <c r="H1296" s="156"/>
      <c r="I1296" s="130"/>
      <c r="J1296" s="130"/>
      <c r="K1296" s="130"/>
    </row>
    <row r="1297" ht="15.75" customHeight="1">
      <c r="A1297" s="154"/>
      <c r="B1297" s="154"/>
      <c r="C1297" s="155"/>
      <c r="D1297" s="156"/>
      <c r="E1297" s="157"/>
      <c r="F1297" s="158"/>
      <c r="G1297" s="156"/>
      <c r="H1297" s="156"/>
      <c r="I1297" s="130"/>
      <c r="J1297" s="130"/>
      <c r="K1297" s="130"/>
    </row>
    <row r="1298" ht="15.75" customHeight="1">
      <c r="A1298" s="154"/>
      <c r="B1298" s="154"/>
      <c r="C1298" s="155"/>
      <c r="D1298" s="156"/>
      <c r="E1298" s="157"/>
      <c r="F1298" s="158"/>
      <c r="G1298" s="156"/>
      <c r="H1298" s="156"/>
      <c r="I1298" s="130"/>
      <c r="J1298" s="130"/>
      <c r="K1298" s="130"/>
    </row>
    <row r="1299" ht="15.75" customHeight="1">
      <c r="A1299" s="154"/>
      <c r="B1299" s="154"/>
      <c r="C1299" s="155"/>
      <c r="D1299" s="156"/>
      <c r="E1299" s="157"/>
      <c r="F1299" s="158"/>
      <c r="G1299" s="156"/>
      <c r="H1299" s="156"/>
      <c r="I1299" s="130"/>
      <c r="J1299" s="130"/>
      <c r="K1299" s="130"/>
    </row>
    <row r="1300" ht="15.75" customHeight="1">
      <c r="A1300" s="154"/>
      <c r="B1300" s="154"/>
      <c r="C1300" s="155"/>
      <c r="D1300" s="156"/>
      <c r="E1300" s="157"/>
      <c r="F1300" s="158"/>
      <c r="G1300" s="156"/>
      <c r="H1300" s="156"/>
      <c r="I1300" s="130"/>
      <c r="J1300" s="130"/>
      <c r="K1300" s="130"/>
    </row>
    <row r="1301" ht="15.75" customHeight="1">
      <c r="A1301" s="154"/>
      <c r="B1301" s="154"/>
      <c r="C1301" s="155"/>
      <c r="D1301" s="156"/>
      <c r="E1301" s="157"/>
      <c r="F1301" s="158"/>
      <c r="G1301" s="156"/>
      <c r="H1301" s="156"/>
      <c r="I1301" s="130"/>
      <c r="J1301" s="130"/>
      <c r="K1301" s="130"/>
    </row>
    <row r="1302" ht="15.75" customHeight="1">
      <c r="A1302" s="154"/>
      <c r="B1302" s="154"/>
      <c r="C1302" s="155"/>
      <c r="D1302" s="156"/>
      <c r="E1302" s="157"/>
      <c r="F1302" s="158"/>
      <c r="G1302" s="156"/>
      <c r="H1302" s="156"/>
      <c r="I1302" s="130"/>
      <c r="J1302" s="130"/>
      <c r="K1302" s="130"/>
    </row>
    <row r="1303" ht="15.75" customHeight="1">
      <c r="A1303" s="154"/>
      <c r="B1303" s="154"/>
      <c r="C1303" s="155"/>
      <c r="D1303" s="156"/>
      <c r="E1303" s="157"/>
      <c r="F1303" s="158"/>
      <c r="G1303" s="156"/>
      <c r="H1303" s="156"/>
      <c r="I1303" s="130"/>
      <c r="J1303" s="130"/>
      <c r="K1303" s="130"/>
    </row>
    <row r="1304" ht="15.75" customHeight="1">
      <c r="A1304" s="154"/>
      <c r="B1304" s="154"/>
      <c r="C1304" s="155"/>
      <c r="D1304" s="156"/>
      <c r="E1304" s="157"/>
      <c r="F1304" s="158"/>
      <c r="G1304" s="156"/>
      <c r="H1304" s="156"/>
      <c r="I1304" s="130"/>
      <c r="J1304" s="130"/>
      <c r="K1304" s="130"/>
    </row>
    <row r="1305" ht="15.75" customHeight="1">
      <c r="A1305" s="154"/>
      <c r="B1305" s="154"/>
      <c r="C1305" s="155"/>
      <c r="D1305" s="156"/>
      <c r="E1305" s="157"/>
      <c r="F1305" s="158"/>
      <c r="G1305" s="156"/>
      <c r="H1305" s="156"/>
      <c r="I1305" s="130"/>
      <c r="J1305" s="130"/>
      <c r="K1305" s="130"/>
    </row>
    <row r="1306" ht="15.75" customHeight="1">
      <c r="A1306" s="154"/>
      <c r="B1306" s="154"/>
      <c r="C1306" s="155"/>
      <c r="D1306" s="156"/>
      <c r="E1306" s="157"/>
      <c r="F1306" s="158"/>
      <c r="G1306" s="156"/>
      <c r="H1306" s="156"/>
      <c r="I1306" s="130"/>
      <c r="J1306" s="130"/>
      <c r="K1306" s="130"/>
    </row>
    <row r="1307" ht="15.75" customHeight="1">
      <c r="A1307" s="154"/>
      <c r="B1307" s="154"/>
      <c r="C1307" s="155"/>
      <c r="D1307" s="156"/>
      <c r="E1307" s="157"/>
      <c r="F1307" s="158"/>
      <c r="G1307" s="156"/>
      <c r="H1307" s="156"/>
      <c r="I1307" s="130"/>
      <c r="J1307" s="130"/>
      <c r="K1307" s="130"/>
    </row>
    <row r="1308" ht="15.75" customHeight="1">
      <c r="A1308" s="154"/>
      <c r="B1308" s="154"/>
      <c r="C1308" s="155"/>
      <c r="D1308" s="156"/>
      <c r="E1308" s="157"/>
      <c r="F1308" s="158"/>
      <c r="G1308" s="156"/>
      <c r="H1308" s="156"/>
      <c r="I1308" s="130"/>
      <c r="J1308" s="130"/>
      <c r="K1308" s="130"/>
    </row>
    <row r="1309" ht="15.75" customHeight="1">
      <c r="A1309" s="154"/>
      <c r="B1309" s="154"/>
      <c r="C1309" s="155"/>
      <c r="D1309" s="156"/>
      <c r="E1309" s="157"/>
      <c r="F1309" s="158"/>
      <c r="G1309" s="156"/>
      <c r="H1309" s="156"/>
      <c r="I1309" s="130"/>
      <c r="J1309" s="130"/>
      <c r="K1309" s="130"/>
    </row>
    <row r="1310" ht="15.75" customHeight="1">
      <c r="A1310" s="154"/>
      <c r="B1310" s="154"/>
      <c r="C1310" s="155"/>
      <c r="D1310" s="156"/>
      <c r="E1310" s="157"/>
      <c r="F1310" s="158"/>
      <c r="G1310" s="156"/>
      <c r="H1310" s="156"/>
      <c r="I1310" s="130"/>
      <c r="J1310" s="130"/>
      <c r="K1310" s="130"/>
    </row>
    <row r="1311" ht="15.75" customHeight="1">
      <c r="A1311" s="154"/>
      <c r="B1311" s="154"/>
      <c r="C1311" s="155"/>
      <c r="D1311" s="156"/>
      <c r="E1311" s="157"/>
      <c r="F1311" s="158"/>
      <c r="G1311" s="156"/>
      <c r="H1311" s="156"/>
      <c r="I1311" s="130"/>
      <c r="J1311" s="130"/>
      <c r="K1311" s="130"/>
    </row>
    <row r="1312" ht="15.75" customHeight="1">
      <c r="A1312" s="154"/>
      <c r="B1312" s="154"/>
      <c r="C1312" s="155"/>
      <c r="D1312" s="156"/>
      <c r="E1312" s="157"/>
      <c r="F1312" s="158"/>
      <c r="G1312" s="156"/>
      <c r="H1312" s="156"/>
      <c r="I1312" s="130"/>
      <c r="J1312" s="130"/>
      <c r="K1312" s="130"/>
    </row>
    <row r="1313" ht="15.75" customHeight="1">
      <c r="A1313" s="154"/>
      <c r="B1313" s="154"/>
      <c r="C1313" s="155"/>
      <c r="D1313" s="156"/>
      <c r="E1313" s="157"/>
      <c r="F1313" s="158"/>
      <c r="G1313" s="156"/>
      <c r="H1313" s="156"/>
      <c r="I1313" s="130"/>
      <c r="J1313" s="130"/>
      <c r="K1313" s="130"/>
    </row>
    <row r="1314" ht="15.75" customHeight="1">
      <c r="A1314" s="154"/>
      <c r="B1314" s="154"/>
      <c r="C1314" s="155"/>
      <c r="D1314" s="156"/>
      <c r="E1314" s="157"/>
      <c r="F1314" s="158"/>
      <c r="G1314" s="156"/>
      <c r="H1314" s="156"/>
      <c r="I1314" s="130"/>
      <c r="J1314" s="130"/>
      <c r="K1314" s="130"/>
    </row>
    <row r="1315" ht="15.75" customHeight="1">
      <c r="A1315" s="154"/>
      <c r="B1315" s="154"/>
      <c r="C1315" s="155"/>
      <c r="D1315" s="156"/>
      <c r="E1315" s="157"/>
      <c r="F1315" s="158"/>
      <c r="G1315" s="156"/>
      <c r="H1315" s="156"/>
      <c r="I1315" s="130"/>
      <c r="J1315" s="130"/>
      <c r="K1315" s="130"/>
    </row>
    <row r="1316" ht="15.75" customHeight="1">
      <c r="A1316" s="154"/>
      <c r="B1316" s="154"/>
      <c r="C1316" s="155"/>
      <c r="D1316" s="156"/>
      <c r="E1316" s="157"/>
      <c r="F1316" s="158"/>
      <c r="G1316" s="156"/>
      <c r="H1316" s="156"/>
      <c r="I1316" s="130"/>
      <c r="J1316" s="130"/>
      <c r="K1316" s="130"/>
    </row>
    <row r="1317" ht="15.75" customHeight="1">
      <c r="A1317" s="154"/>
      <c r="B1317" s="154"/>
      <c r="C1317" s="155"/>
      <c r="D1317" s="156"/>
      <c r="E1317" s="157"/>
      <c r="F1317" s="158"/>
      <c r="G1317" s="156"/>
      <c r="H1317" s="156"/>
      <c r="I1317" s="130"/>
      <c r="J1317" s="130"/>
      <c r="K1317" s="130"/>
    </row>
    <row r="1318" ht="15.75" customHeight="1">
      <c r="A1318" s="154"/>
      <c r="B1318" s="154"/>
      <c r="C1318" s="155"/>
      <c r="D1318" s="156"/>
      <c r="E1318" s="157"/>
      <c r="F1318" s="158"/>
      <c r="G1318" s="156"/>
      <c r="H1318" s="156"/>
      <c r="I1318" s="130"/>
      <c r="J1318" s="130"/>
      <c r="K1318" s="130"/>
    </row>
    <row r="1319" ht="15.75" customHeight="1">
      <c r="A1319" s="154"/>
      <c r="B1319" s="154"/>
      <c r="C1319" s="155"/>
      <c r="D1319" s="156"/>
      <c r="E1319" s="157"/>
      <c r="F1319" s="158"/>
      <c r="G1319" s="156"/>
      <c r="H1319" s="156"/>
      <c r="I1319" s="130"/>
      <c r="J1319" s="130"/>
      <c r="K1319" s="130"/>
    </row>
    <row r="1320" ht="15.75" customHeight="1">
      <c r="A1320" s="154"/>
      <c r="B1320" s="154"/>
      <c r="C1320" s="155"/>
      <c r="D1320" s="156"/>
      <c r="E1320" s="157"/>
      <c r="F1320" s="158"/>
      <c r="G1320" s="156"/>
      <c r="H1320" s="156"/>
      <c r="I1320" s="130"/>
      <c r="J1320" s="130"/>
      <c r="K1320" s="130"/>
    </row>
    <row r="1321" ht="15.75" customHeight="1">
      <c r="A1321" s="154"/>
      <c r="B1321" s="154"/>
      <c r="C1321" s="155"/>
      <c r="D1321" s="156"/>
      <c r="E1321" s="157"/>
      <c r="F1321" s="158"/>
      <c r="G1321" s="156"/>
      <c r="H1321" s="156"/>
      <c r="I1321" s="130"/>
      <c r="J1321" s="130"/>
      <c r="K1321" s="130"/>
    </row>
    <row r="1322" ht="15.75" customHeight="1">
      <c r="A1322" s="154"/>
      <c r="B1322" s="154"/>
      <c r="C1322" s="155"/>
      <c r="D1322" s="156"/>
      <c r="E1322" s="157"/>
      <c r="F1322" s="158"/>
      <c r="G1322" s="156"/>
      <c r="H1322" s="156"/>
      <c r="I1322" s="130"/>
      <c r="J1322" s="130"/>
      <c r="K1322" s="130"/>
    </row>
    <row r="1323" ht="15.75" customHeight="1">
      <c r="A1323" s="154"/>
      <c r="B1323" s="154"/>
      <c r="C1323" s="155"/>
      <c r="D1323" s="156"/>
      <c r="E1323" s="157"/>
      <c r="F1323" s="158"/>
      <c r="G1323" s="156"/>
      <c r="H1323" s="156"/>
      <c r="I1323" s="130"/>
      <c r="J1323" s="130"/>
      <c r="K1323" s="130"/>
    </row>
    <row r="1324" ht="15.75" customHeight="1">
      <c r="A1324" s="154"/>
      <c r="B1324" s="154"/>
      <c r="C1324" s="155"/>
      <c r="D1324" s="156"/>
      <c r="E1324" s="157"/>
      <c r="F1324" s="158"/>
      <c r="G1324" s="156"/>
      <c r="H1324" s="156"/>
      <c r="I1324" s="130"/>
      <c r="J1324" s="130"/>
      <c r="K1324" s="130"/>
    </row>
    <row r="1325" ht="15.75" customHeight="1">
      <c r="A1325" s="154"/>
      <c r="B1325" s="154"/>
      <c r="C1325" s="155"/>
      <c r="D1325" s="156"/>
      <c r="E1325" s="157"/>
      <c r="F1325" s="158"/>
      <c r="G1325" s="156"/>
      <c r="H1325" s="156"/>
      <c r="I1325" s="130"/>
      <c r="J1325" s="130"/>
      <c r="K1325" s="130"/>
    </row>
    <row r="1326" ht="15.75" customHeight="1">
      <c r="A1326" s="154"/>
      <c r="B1326" s="154"/>
      <c r="C1326" s="155"/>
      <c r="D1326" s="156"/>
      <c r="E1326" s="157"/>
      <c r="F1326" s="158"/>
      <c r="G1326" s="156"/>
      <c r="H1326" s="156"/>
      <c r="I1326" s="130"/>
      <c r="J1326" s="130"/>
      <c r="K1326" s="130"/>
    </row>
    <row r="1327" ht="15.75" customHeight="1">
      <c r="A1327" s="154"/>
      <c r="B1327" s="154"/>
      <c r="C1327" s="155"/>
      <c r="D1327" s="156"/>
      <c r="E1327" s="157"/>
      <c r="F1327" s="158"/>
      <c r="G1327" s="156"/>
      <c r="H1327" s="156"/>
      <c r="I1327" s="130"/>
      <c r="J1327" s="130"/>
      <c r="K1327" s="130"/>
    </row>
    <row r="1328" ht="15.75" customHeight="1">
      <c r="A1328" s="154"/>
      <c r="B1328" s="154"/>
      <c r="C1328" s="155"/>
      <c r="D1328" s="156"/>
      <c r="E1328" s="157"/>
      <c r="F1328" s="158"/>
      <c r="G1328" s="156"/>
      <c r="H1328" s="156"/>
      <c r="I1328" s="130"/>
      <c r="J1328" s="130"/>
      <c r="K1328" s="130"/>
    </row>
    <row r="1329" ht="15.75" customHeight="1">
      <c r="A1329" s="154"/>
      <c r="B1329" s="154"/>
      <c r="C1329" s="155"/>
      <c r="D1329" s="156"/>
      <c r="E1329" s="157"/>
      <c r="F1329" s="158"/>
      <c r="G1329" s="156"/>
      <c r="H1329" s="156"/>
      <c r="I1329" s="130"/>
      <c r="J1329" s="130"/>
      <c r="K1329" s="130"/>
    </row>
    <row r="1330" ht="15.75" customHeight="1">
      <c r="A1330" s="154"/>
      <c r="B1330" s="154"/>
      <c r="C1330" s="155"/>
      <c r="D1330" s="156"/>
      <c r="E1330" s="157"/>
      <c r="F1330" s="158"/>
      <c r="G1330" s="156"/>
      <c r="H1330" s="156"/>
      <c r="I1330" s="130"/>
      <c r="J1330" s="130"/>
      <c r="K1330" s="130"/>
    </row>
    <row r="1331" ht="15.75" customHeight="1">
      <c r="A1331" s="154"/>
      <c r="B1331" s="154"/>
      <c r="C1331" s="155"/>
      <c r="D1331" s="156"/>
      <c r="E1331" s="157"/>
      <c r="F1331" s="158"/>
      <c r="G1331" s="156"/>
      <c r="H1331" s="156"/>
      <c r="I1331" s="130"/>
      <c r="J1331" s="130"/>
      <c r="K1331" s="130"/>
    </row>
    <row r="1332" ht="15.75" customHeight="1">
      <c r="A1332" s="154"/>
      <c r="B1332" s="154"/>
      <c r="C1332" s="155"/>
      <c r="D1332" s="156"/>
      <c r="E1332" s="157"/>
      <c r="F1332" s="158"/>
      <c r="G1332" s="156"/>
      <c r="H1332" s="156"/>
      <c r="I1332" s="130"/>
      <c r="J1332" s="130"/>
      <c r="K1332" s="130"/>
    </row>
    <row r="1333" ht="15.75" customHeight="1">
      <c r="A1333" s="154"/>
      <c r="B1333" s="154"/>
      <c r="C1333" s="155"/>
      <c r="D1333" s="156"/>
      <c r="E1333" s="157"/>
      <c r="F1333" s="158"/>
      <c r="G1333" s="156"/>
      <c r="H1333" s="156"/>
      <c r="I1333" s="130"/>
      <c r="J1333" s="130"/>
      <c r="K1333" s="130"/>
    </row>
    <row r="1334" ht="15.75" customHeight="1">
      <c r="A1334" s="154"/>
      <c r="B1334" s="154"/>
      <c r="C1334" s="155"/>
      <c r="D1334" s="156"/>
      <c r="E1334" s="157"/>
      <c r="F1334" s="158"/>
      <c r="G1334" s="156"/>
      <c r="H1334" s="156"/>
      <c r="I1334" s="130"/>
      <c r="J1334" s="130"/>
      <c r="K1334" s="130"/>
    </row>
    <row r="1335" ht="15.75" customHeight="1">
      <c r="A1335" s="154"/>
      <c r="B1335" s="154"/>
      <c r="C1335" s="155"/>
      <c r="D1335" s="156"/>
      <c r="E1335" s="157"/>
      <c r="F1335" s="158"/>
      <c r="G1335" s="156"/>
      <c r="H1335" s="156"/>
      <c r="I1335" s="130"/>
      <c r="J1335" s="130"/>
      <c r="K1335" s="130"/>
    </row>
    <row r="1336" ht="15.75" customHeight="1">
      <c r="A1336" s="154"/>
      <c r="B1336" s="154"/>
      <c r="C1336" s="155"/>
      <c r="D1336" s="156"/>
      <c r="E1336" s="157"/>
      <c r="F1336" s="158"/>
      <c r="G1336" s="156"/>
      <c r="H1336" s="156"/>
      <c r="I1336" s="130"/>
      <c r="J1336" s="130"/>
      <c r="K1336" s="130"/>
    </row>
    <row r="1337" ht="15.75" customHeight="1">
      <c r="A1337" s="154"/>
      <c r="B1337" s="154"/>
      <c r="C1337" s="155"/>
      <c r="D1337" s="156"/>
      <c r="E1337" s="157"/>
      <c r="F1337" s="158"/>
      <c r="G1337" s="156"/>
      <c r="H1337" s="156"/>
      <c r="I1337" s="130"/>
      <c r="J1337" s="130"/>
      <c r="K1337" s="130"/>
    </row>
    <row r="1338" ht="15.75" customHeight="1">
      <c r="A1338" s="154"/>
      <c r="B1338" s="154"/>
      <c r="C1338" s="155"/>
      <c r="D1338" s="156"/>
      <c r="E1338" s="157"/>
      <c r="F1338" s="158"/>
      <c r="G1338" s="156"/>
      <c r="H1338" s="156"/>
      <c r="I1338" s="130"/>
      <c r="J1338" s="130"/>
      <c r="K1338" s="130"/>
    </row>
    <row r="1339" ht="15.75" customHeight="1">
      <c r="A1339" s="154"/>
      <c r="B1339" s="154"/>
      <c r="C1339" s="155"/>
      <c r="D1339" s="156"/>
      <c r="E1339" s="157"/>
      <c r="F1339" s="158"/>
      <c r="G1339" s="156"/>
      <c r="H1339" s="156"/>
      <c r="I1339" s="130"/>
      <c r="J1339" s="130"/>
      <c r="K1339" s="130"/>
    </row>
    <row r="1340" ht="15.75" customHeight="1">
      <c r="A1340" s="154"/>
      <c r="B1340" s="154"/>
      <c r="C1340" s="155"/>
      <c r="D1340" s="156"/>
      <c r="E1340" s="157"/>
      <c r="F1340" s="158"/>
      <c r="G1340" s="156"/>
      <c r="H1340" s="156"/>
      <c r="I1340" s="130"/>
      <c r="J1340" s="130"/>
      <c r="K1340" s="130"/>
    </row>
    <row r="1341" ht="15.75" customHeight="1">
      <c r="A1341" s="154"/>
      <c r="B1341" s="154"/>
      <c r="C1341" s="155"/>
      <c r="D1341" s="156"/>
      <c r="E1341" s="157"/>
      <c r="F1341" s="158"/>
      <c r="G1341" s="156"/>
      <c r="H1341" s="156"/>
      <c r="I1341" s="130"/>
      <c r="J1341" s="130"/>
      <c r="K1341" s="130"/>
    </row>
    <row r="1342" ht="15.75" customHeight="1">
      <c r="A1342" s="154"/>
      <c r="B1342" s="154"/>
      <c r="C1342" s="155"/>
      <c r="D1342" s="156"/>
      <c r="E1342" s="157"/>
      <c r="F1342" s="158"/>
      <c r="G1342" s="156"/>
      <c r="H1342" s="156"/>
      <c r="I1342" s="130"/>
      <c r="J1342" s="130"/>
      <c r="K1342" s="130"/>
    </row>
    <row r="1343" ht="15.75" customHeight="1">
      <c r="A1343" s="154"/>
      <c r="B1343" s="154"/>
      <c r="C1343" s="155"/>
      <c r="D1343" s="156"/>
      <c r="E1343" s="157"/>
      <c r="F1343" s="158"/>
      <c r="G1343" s="156"/>
      <c r="H1343" s="156"/>
      <c r="I1343" s="130"/>
      <c r="J1343" s="130"/>
      <c r="K1343" s="130"/>
    </row>
    <row r="1344" ht="15.75" customHeight="1">
      <c r="A1344" s="154"/>
      <c r="B1344" s="154"/>
      <c r="C1344" s="155"/>
      <c r="D1344" s="156"/>
      <c r="E1344" s="157"/>
      <c r="F1344" s="158"/>
      <c r="G1344" s="156"/>
      <c r="H1344" s="156"/>
      <c r="I1344" s="130"/>
      <c r="J1344" s="130"/>
      <c r="K1344" s="130"/>
    </row>
    <row r="1345" ht="15.75" customHeight="1">
      <c r="A1345" s="154"/>
      <c r="B1345" s="154"/>
      <c r="C1345" s="155"/>
      <c r="D1345" s="156"/>
      <c r="E1345" s="157"/>
      <c r="F1345" s="158"/>
      <c r="G1345" s="156"/>
      <c r="H1345" s="156"/>
      <c r="I1345" s="130"/>
      <c r="J1345" s="130"/>
      <c r="K1345" s="130"/>
    </row>
    <row r="1346" ht="15.75" customHeight="1">
      <c r="A1346" s="154"/>
      <c r="B1346" s="154"/>
      <c r="C1346" s="155"/>
      <c r="D1346" s="156"/>
      <c r="E1346" s="157"/>
      <c r="F1346" s="158"/>
      <c r="G1346" s="156"/>
      <c r="H1346" s="156"/>
      <c r="I1346" s="130"/>
      <c r="J1346" s="130"/>
      <c r="K1346" s="130"/>
    </row>
    <row r="1347" ht="15.75" customHeight="1">
      <c r="A1347" s="154"/>
      <c r="B1347" s="154"/>
      <c r="C1347" s="155"/>
      <c r="D1347" s="156"/>
      <c r="E1347" s="157"/>
      <c r="F1347" s="158"/>
      <c r="G1347" s="156"/>
      <c r="H1347" s="156"/>
      <c r="I1347" s="130"/>
      <c r="J1347" s="130"/>
      <c r="K1347" s="130"/>
    </row>
    <row r="1348" ht="15.75" customHeight="1">
      <c r="A1348" s="154"/>
      <c r="B1348" s="154"/>
      <c r="C1348" s="155"/>
      <c r="D1348" s="156"/>
      <c r="E1348" s="157"/>
      <c r="F1348" s="158"/>
      <c r="G1348" s="156"/>
      <c r="H1348" s="156"/>
      <c r="I1348" s="130"/>
      <c r="J1348" s="130"/>
      <c r="K1348" s="130"/>
    </row>
    <row r="1349" ht="15.75" customHeight="1">
      <c r="A1349" s="154"/>
      <c r="B1349" s="154"/>
      <c r="C1349" s="155"/>
      <c r="D1349" s="156"/>
      <c r="E1349" s="157"/>
      <c r="F1349" s="158"/>
      <c r="G1349" s="156"/>
      <c r="H1349" s="156"/>
      <c r="I1349" s="130"/>
      <c r="J1349" s="130"/>
      <c r="K1349" s="130"/>
    </row>
    <row r="1350" ht="15.75" customHeight="1">
      <c r="A1350" s="154"/>
      <c r="B1350" s="154"/>
      <c r="C1350" s="155"/>
      <c r="D1350" s="156"/>
      <c r="E1350" s="157"/>
      <c r="F1350" s="158"/>
      <c r="G1350" s="156"/>
      <c r="H1350" s="156"/>
      <c r="I1350" s="130"/>
      <c r="J1350" s="130"/>
      <c r="K1350" s="130"/>
    </row>
    <row r="1351" ht="15.75" customHeight="1">
      <c r="A1351" s="154"/>
      <c r="B1351" s="154"/>
      <c r="C1351" s="155"/>
      <c r="D1351" s="156"/>
      <c r="E1351" s="157"/>
      <c r="F1351" s="158"/>
      <c r="G1351" s="156"/>
      <c r="H1351" s="156"/>
      <c r="I1351" s="130"/>
      <c r="J1351" s="130"/>
      <c r="K1351" s="130"/>
    </row>
    <row r="1352" ht="15.75" customHeight="1">
      <c r="A1352" s="154"/>
      <c r="B1352" s="154"/>
      <c r="C1352" s="155"/>
      <c r="D1352" s="156"/>
      <c r="E1352" s="157"/>
      <c r="F1352" s="158"/>
      <c r="G1352" s="156"/>
      <c r="H1352" s="156"/>
      <c r="I1352" s="130"/>
      <c r="J1352" s="130"/>
      <c r="K1352" s="130"/>
    </row>
    <row r="1353" ht="15.75" customHeight="1">
      <c r="A1353" s="154"/>
      <c r="B1353" s="154"/>
      <c r="C1353" s="155"/>
      <c r="D1353" s="156"/>
      <c r="E1353" s="157"/>
      <c r="F1353" s="158"/>
      <c r="G1353" s="156"/>
      <c r="H1353" s="156"/>
      <c r="I1353" s="130"/>
      <c r="J1353" s="130"/>
      <c r="K1353" s="130"/>
    </row>
    <row r="1354" ht="15.75" customHeight="1">
      <c r="A1354" s="154"/>
      <c r="B1354" s="154"/>
      <c r="C1354" s="155"/>
      <c r="D1354" s="156"/>
      <c r="E1354" s="157"/>
      <c r="F1354" s="158"/>
      <c r="G1354" s="156"/>
      <c r="H1354" s="156"/>
      <c r="I1354" s="130"/>
      <c r="J1354" s="130"/>
      <c r="K1354" s="130"/>
    </row>
    <row r="1355" ht="15.75" customHeight="1">
      <c r="A1355" s="154"/>
      <c r="B1355" s="154"/>
      <c r="C1355" s="155"/>
      <c r="D1355" s="156"/>
      <c r="E1355" s="157"/>
      <c r="F1355" s="158"/>
      <c r="G1355" s="156"/>
      <c r="H1355" s="156"/>
      <c r="I1355" s="130"/>
      <c r="J1355" s="130"/>
      <c r="K1355" s="130"/>
    </row>
    <row r="1356" ht="15.75" customHeight="1">
      <c r="A1356" s="154"/>
      <c r="B1356" s="154"/>
      <c r="C1356" s="155"/>
      <c r="D1356" s="156"/>
      <c r="E1356" s="157"/>
      <c r="F1356" s="158"/>
      <c r="G1356" s="156"/>
      <c r="H1356" s="156"/>
      <c r="I1356" s="130"/>
      <c r="J1356" s="130"/>
      <c r="K1356" s="130"/>
    </row>
    <row r="1357" ht="15.75" customHeight="1">
      <c r="A1357" s="154"/>
      <c r="B1357" s="154"/>
      <c r="C1357" s="155"/>
      <c r="D1357" s="156"/>
      <c r="E1357" s="157"/>
      <c r="F1357" s="158"/>
      <c r="G1357" s="156"/>
      <c r="H1357" s="156"/>
      <c r="I1357" s="130"/>
      <c r="J1357" s="130"/>
      <c r="K1357" s="130"/>
    </row>
    <row r="1358" ht="15.75" customHeight="1">
      <c r="A1358" s="154"/>
      <c r="B1358" s="154"/>
      <c r="C1358" s="155"/>
      <c r="D1358" s="156"/>
      <c r="E1358" s="157"/>
      <c r="F1358" s="158"/>
      <c r="G1358" s="156"/>
      <c r="H1358" s="156"/>
      <c r="I1358" s="130"/>
      <c r="J1358" s="130"/>
      <c r="K1358" s="130"/>
    </row>
    <row r="1359" ht="15.75" customHeight="1">
      <c r="A1359" s="154"/>
      <c r="B1359" s="154"/>
      <c r="C1359" s="155"/>
      <c r="D1359" s="156"/>
      <c r="E1359" s="157"/>
      <c r="F1359" s="158"/>
      <c r="G1359" s="156"/>
      <c r="H1359" s="156"/>
      <c r="I1359" s="130"/>
      <c r="J1359" s="130"/>
      <c r="K1359" s="130"/>
    </row>
    <row r="1360" ht="15.75" customHeight="1">
      <c r="A1360" s="154"/>
      <c r="B1360" s="154"/>
      <c r="C1360" s="155"/>
      <c r="D1360" s="156"/>
      <c r="E1360" s="157"/>
      <c r="F1360" s="158"/>
      <c r="G1360" s="156"/>
      <c r="H1360" s="156"/>
      <c r="I1360" s="130"/>
      <c r="J1360" s="130"/>
      <c r="K1360" s="130"/>
    </row>
    <row r="1361" ht="15.75" customHeight="1">
      <c r="A1361" s="154"/>
      <c r="B1361" s="154"/>
      <c r="C1361" s="155"/>
      <c r="D1361" s="156"/>
      <c r="E1361" s="157"/>
      <c r="F1361" s="158"/>
      <c r="G1361" s="156"/>
      <c r="H1361" s="156"/>
      <c r="I1361" s="130"/>
      <c r="J1361" s="130"/>
      <c r="K1361" s="130"/>
    </row>
    <row r="1362" ht="15.75" customHeight="1">
      <c r="A1362" s="154"/>
      <c r="B1362" s="154"/>
      <c r="C1362" s="155"/>
      <c r="D1362" s="156"/>
      <c r="E1362" s="157"/>
      <c r="F1362" s="158"/>
      <c r="G1362" s="156"/>
      <c r="H1362" s="156"/>
      <c r="I1362" s="130"/>
      <c r="J1362" s="130"/>
      <c r="K1362" s="130"/>
    </row>
    <row r="1363" ht="15.75" customHeight="1">
      <c r="A1363" s="154"/>
      <c r="B1363" s="154"/>
      <c r="C1363" s="155"/>
      <c r="D1363" s="156"/>
      <c r="E1363" s="157"/>
      <c r="F1363" s="158"/>
      <c r="G1363" s="156"/>
      <c r="H1363" s="156"/>
      <c r="I1363" s="130"/>
      <c r="J1363" s="130"/>
      <c r="K1363" s="130"/>
    </row>
    <row r="1364" ht="15.75" customHeight="1">
      <c r="A1364" s="154"/>
      <c r="B1364" s="154"/>
      <c r="C1364" s="155"/>
      <c r="D1364" s="156"/>
      <c r="E1364" s="157"/>
      <c r="F1364" s="158"/>
      <c r="G1364" s="156"/>
      <c r="H1364" s="156"/>
      <c r="I1364" s="130"/>
      <c r="J1364" s="130"/>
      <c r="K1364" s="130"/>
    </row>
    <row r="1365" ht="15.75" customHeight="1">
      <c r="A1365" s="154"/>
      <c r="B1365" s="154"/>
      <c r="C1365" s="155"/>
      <c r="D1365" s="156"/>
      <c r="E1365" s="157"/>
      <c r="F1365" s="158"/>
      <c r="G1365" s="156"/>
      <c r="H1365" s="156"/>
      <c r="I1365" s="130"/>
      <c r="J1365" s="130"/>
      <c r="K1365" s="130"/>
    </row>
    <row r="1366" ht="15.75" customHeight="1">
      <c r="A1366" s="154"/>
      <c r="B1366" s="154"/>
      <c r="C1366" s="155"/>
      <c r="D1366" s="156"/>
      <c r="E1366" s="157"/>
      <c r="F1366" s="158"/>
      <c r="G1366" s="156"/>
      <c r="H1366" s="156"/>
      <c r="I1366" s="130"/>
      <c r="J1366" s="130"/>
      <c r="K1366" s="130"/>
    </row>
    <row r="1367" ht="15.75" customHeight="1">
      <c r="A1367" s="154"/>
      <c r="B1367" s="154"/>
      <c r="C1367" s="155"/>
      <c r="D1367" s="156"/>
      <c r="E1367" s="157"/>
      <c r="F1367" s="158"/>
      <c r="G1367" s="156"/>
      <c r="H1367" s="156"/>
      <c r="I1367" s="130"/>
      <c r="J1367" s="130"/>
      <c r="K1367" s="130"/>
    </row>
    <row r="1368" ht="15.75" customHeight="1">
      <c r="A1368" s="154"/>
      <c r="B1368" s="154"/>
      <c r="C1368" s="155"/>
      <c r="D1368" s="156"/>
      <c r="E1368" s="157"/>
      <c r="F1368" s="158"/>
      <c r="G1368" s="156"/>
      <c r="H1368" s="156"/>
      <c r="I1368" s="130"/>
      <c r="J1368" s="130"/>
      <c r="K1368" s="130"/>
    </row>
    <row r="1369" ht="15.75" customHeight="1">
      <c r="A1369" s="154"/>
      <c r="B1369" s="154"/>
      <c r="C1369" s="155"/>
      <c r="D1369" s="156"/>
      <c r="E1369" s="157"/>
      <c r="F1369" s="158"/>
      <c r="G1369" s="156"/>
      <c r="H1369" s="156"/>
      <c r="I1369" s="130"/>
      <c r="J1369" s="130"/>
      <c r="K1369" s="130"/>
    </row>
    <row r="1370" ht="15.75" customHeight="1">
      <c r="A1370" s="154"/>
      <c r="B1370" s="154"/>
      <c r="C1370" s="155"/>
      <c r="D1370" s="156"/>
      <c r="E1370" s="157"/>
      <c r="F1370" s="158"/>
      <c r="G1370" s="156"/>
      <c r="H1370" s="156"/>
      <c r="I1370" s="130"/>
      <c r="J1370" s="130"/>
      <c r="K1370" s="130"/>
    </row>
    <row r="1371" ht="15.75" customHeight="1">
      <c r="A1371" s="154"/>
      <c r="B1371" s="154"/>
      <c r="C1371" s="155"/>
      <c r="D1371" s="156"/>
      <c r="E1371" s="157"/>
      <c r="F1371" s="158"/>
      <c r="G1371" s="156"/>
      <c r="H1371" s="156"/>
      <c r="I1371" s="130"/>
      <c r="J1371" s="130"/>
      <c r="K1371" s="130"/>
    </row>
    <row r="1372" ht="15.75" customHeight="1">
      <c r="A1372" s="154"/>
      <c r="B1372" s="154"/>
      <c r="C1372" s="155"/>
      <c r="D1372" s="156"/>
      <c r="E1372" s="157"/>
      <c r="F1372" s="158"/>
      <c r="G1372" s="156"/>
      <c r="H1372" s="156"/>
      <c r="I1372" s="130"/>
      <c r="J1372" s="130"/>
      <c r="K1372" s="130"/>
    </row>
    <row r="1373" ht="15.75" customHeight="1">
      <c r="A1373" s="154"/>
      <c r="B1373" s="154"/>
      <c r="C1373" s="155"/>
      <c r="D1373" s="156"/>
      <c r="E1373" s="157"/>
      <c r="F1373" s="158"/>
      <c r="G1373" s="156"/>
      <c r="H1373" s="156"/>
      <c r="I1373" s="130"/>
      <c r="J1373" s="130"/>
      <c r="K1373" s="130"/>
    </row>
    <row r="1374" ht="15.75" customHeight="1">
      <c r="A1374" s="154"/>
      <c r="B1374" s="154"/>
      <c r="C1374" s="155"/>
      <c r="D1374" s="156"/>
      <c r="E1374" s="157"/>
      <c r="F1374" s="158"/>
      <c r="G1374" s="156"/>
      <c r="H1374" s="156"/>
      <c r="I1374" s="130"/>
      <c r="J1374" s="130"/>
      <c r="K1374" s="130"/>
    </row>
    <row r="1375" ht="15.75" customHeight="1">
      <c r="A1375" s="154"/>
      <c r="B1375" s="154"/>
      <c r="C1375" s="155"/>
      <c r="D1375" s="156"/>
      <c r="E1375" s="157"/>
      <c r="F1375" s="158"/>
      <c r="G1375" s="156"/>
      <c r="H1375" s="156"/>
      <c r="I1375" s="130"/>
      <c r="J1375" s="130"/>
      <c r="K1375" s="130"/>
    </row>
    <row r="1376" ht="15.75" customHeight="1">
      <c r="A1376" s="154"/>
      <c r="B1376" s="154"/>
      <c r="C1376" s="155"/>
      <c r="D1376" s="156"/>
      <c r="E1376" s="157"/>
      <c r="F1376" s="158"/>
      <c r="G1376" s="156"/>
      <c r="H1376" s="156"/>
      <c r="I1376" s="130"/>
      <c r="J1376" s="130"/>
      <c r="K1376" s="130"/>
    </row>
    <row r="1377" ht="15.75" customHeight="1">
      <c r="A1377" s="154"/>
      <c r="B1377" s="154"/>
      <c r="C1377" s="155"/>
      <c r="D1377" s="156"/>
      <c r="E1377" s="157"/>
      <c r="F1377" s="158"/>
      <c r="G1377" s="156"/>
      <c r="H1377" s="156"/>
      <c r="I1377" s="130"/>
      <c r="J1377" s="130"/>
      <c r="K1377" s="130"/>
    </row>
    <row r="1378" ht="15.75" customHeight="1">
      <c r="A1378" s="154"/>
      <c r="B1378" s="154"/>
      <c r="C1378" s="155"/>
      <c r="D1378" s="156"/>
      <c r="E1378" s="157"/>
      <c r="F1378" s="158"/>
      <c r="G1378" s="156"/>
      <c r="H1378" s="156"/>
      <c r="I1378" s="130"/>
      <c r="J1378" s="130"/>
      <c r="K1378" s="130"/>
    </row>
    <row r="1379" ht="15.75" customHeight="1">
      <c r="A1379" s="154"/>
      <c r="B1379" s="154"/>
      <c r="C1379" s="155"/>
      <c r="D1379" s="156"/>
      <c r="E1379" s="157"/>
      <c r="F1379" s="158"/>
      <c r="G1379" s="156"/>
      <c r="H1379" s="156"/>
      <c r="I1379" s="130"/>
      <c r="J1379" s="130"/>
      <c r="K1379" s="130"/>
    </row>
    <row r="1380" ht="15.75" customHeight="1">
      <c r="A1380" s="154"/>
      <c r="B1380" s="154"/>
      <c r="C1380" s="155"/>
      <c r="D1380" s="156"/>
      <c r="E1380" s="157"/>
      <c r="F1380" s="158"/>
      <c r="G1380" s="156"/>
      <c r="H1380" s="156"/>
      <c r="I1380" s="130"/>
      <c r="J1380" s="130"/>
      <c r="K1380" s="130"/>
    </row>
    <row r="1381" ht="15.75" customHeight="1">
      <c r="A1381" s="154"/>
      <c r="B1381" s="154"/>
      <c r="C1381" s="155"/>
      <c r="D1381" s="156"/>
      <c r="E1381" s="157"/>
      <c r="F1381" s="158"/>
      <c r="G1381" s="156"/>
      <c r="H1381" s="156"/>
      <c r="I1381" s="130"/>
      <c r="J1381" s="130"/>
      <c r="K1381" s="130"/>
    </row>
    <row r="1382" ht="15.75" customHeight="1">
      <c r="A1382" s="154"/>
      <c r="B1382" s="154"/>
      <c r="C1382" s="155"/>
      <c r="D1382" s="156"/>
      <c r="E1382" s="157"/>
      <c r="F1382" s="158"/>
      <c r="G1382" s="156"/>
      <c r="H1382" s="156"/>
      <c r="I1382" s="130"/>
      <c r="J1382" s="130"/>
      <c r="K1382" s="130"/>
    </row>
    <row r="1383" ht="15.75" customHeight="1">
      <c r="A1383" s="154"/>
      <c r="B1383" s="154"/>
      <c r="C1383" s="155"/>
      <c r="D1383" s="156"/>
      <c r="E1383" s="157"/>
      <c r="F1383" s="158"/>
      <c r="G1383" s="156"/>
      <c r="H1383" s="156"/>
      <c r="I1383" s="130"/>
      <c r="J1383" s="130"/>
      <c r="K1383" s="130"/>
    </row>
    <row r="1384" ht="15.75" customHeight="1">
      <c r="A1384" s="154"/>
      <c r="B1384" s="154"/>
      <c r="C1384" s="155"/>
      <c r="D1384" s="156"/>
      <c r="E1384" s="157"/>
      <c r="F1384" s="158"/>
      <c r="G1384" s="156"/>
      <c r="H1384" s="156"/>
      <c r="I1384" s="130"/>
      <c r="J1384" s="130"/>
      <c r="K1384" s="130"/>
    </row>
    <row r="1385" ht="15.75" customHeight="1">
      <c r="A1385" s="154"/>
      <c r="B1385" s="154"/>
      <c r="C1385" s="155"/>
      <c r="D1385" s="156"/>
      <c r="E1385" s="157"/>
      <c r="F1385" s="158"/>
      <c r="G1385" s="156"/>
      <c r="H1385" s="156"/>
      <c r="I1385" s="130"/>
      <c r="J1385" s="130"/>
      <c r="K1385" s="130"/>
    </row>
    <row r="1386" ht="15.75" customHeight="1">
      <c r="A1386" s="154"/>
      <c r="B1386" s="154"/>
      <c r="C1386" s="155"/>
      <c r="D1386" s="156"/>
      <c r="E1386" s="157"/>
      <c r="F1386" s="158"/>
      <c r="G1386" s="156"/>
      <c r="H1386" s="156"/>
      <c r="I1386" s="130"/>
      <c r="J1386" s="130"/>
      <c r="K1386" s="130"/>
    </row>
    <row r="1387" ht="15.75" customHeight="1">
      <c r="A1387" s="154"/>
      <c r="B1387" s="154"/>
      <c r="C1387" s="155"/>
      <c r="D1387" s="156"/>
      <c r="E1387" s="157"/>
      <c r="F1387" s="158"/>
      <c r="G1387" s="156"/>
      <c r="H1387" s="156"/>
      <c r="I1387" s="130"/>
      <c r="J1387" s="130"/>
      <c r="K1387" s="130"/>
    </row>
    <row r="1388" ht="15.75" customHeight="1">
      <c r="A1388" s="154"/>
      <c r="B1388" s="154"/>
      <c r="C1388" s="155"/>
      <c r="D1388" s="156"/>
      <c r="E1388" s="157"/>
      <c r="F1388" s="158"/>
      <c r="G1388" s="156"/>
      <c r="H1388" s="156"/>
      <c r="I1388" s="130"/>
      <c r="J1388" s="130"/>
      <c r="K1388" s="130"/>
    </row>
    <row r="1389" ht="15.75" customHeight="1">
      <c r="A1389" s="154"/>
      <c r="B1389" s="154"/>
      <c r="C1389" s="155"/>
      <c r="D1389" s="156"/>
      <c r="E1389" s="157"/>
      <c r="F1389" s="158"/>
      <c r="G1389" s="156"/>
      <c r="H1389" s="156"/>
      <c r="I1389" s="130"/>
      <c r="J1389" s="130"/>
      <c r="K1389" s="130"/>
    </row>
    <row r="1390" ht="15.75" customHeight="1">
      <c r="A1390" s="154"/>
      <c r="B1390" s="154"/>
      <c r="C1390" s="155"/>
      <c r="D1390" s="156"/>
      <c r="E1390" s="157"/>
      <c r="F1390" s="158"/>
      <c r="G1390" s="156"/>
      <c r="H1390" s="156"/>
      <c r="I1390" s="130"/>
      <c r="J1390" s="130"/>
      <c r="K1390" s="130"/>
    </row>
    <row r="1391" ht="15.75" customHeight="1">
      <c r="A1391" s="154"/>
      <c r="B1391" s="154"/>
      <c r="C1391" s="155"/>
      <c r="D1391" s="156"/>
      <c r="E1391" s="157"/>
      <c r="F1391" s="158"/>
      <c r="G1391" s="156"/>
      <c r="H1391" s="156"/>
      <c r="I1391" s="130"/>
      <c r="J1391" s="130"/>
      <c r="K1391" s="130"/>
    </row>
    <row r="1392" ht="15.75" customHeight="1">
      <c r="A1392" s="154"/>
      <c r="B1392" s="154"/>
      <c r="C1392" s="155"/>
      <c r="D1392" s="156"/>
      <c r="E1392" s="157"/>
      <c r="F1392" s="158"/>
      <c r="G1392" s="156"/>
      <c r="H1392" s="156"/>
      <c r="I1392" s="130"/>
      <c r="J1392" s="130"/>
      <c r="K1392" s="130"/>
    </row>
    <row r="1393" ht="15.75" customHeight="1">
      <c r="A1393" s="154"/>
      <c r="B1393" s="154"/>
      <c r="C1393" s="155"/>
      <c r="D1393" s="156"/>
      <c r="E1393" s="157"/>
      <c r="F1393" s="158"/>
      <c r="G1393" s="156"/>
      <c r="H1393" s="156"/>
      <c r="I1393" s="130"/>
      <c r="J1393" s="130"/>
      <c r="K1393" s="130"/>
    </row>
    <row r="1394" ht="15.75" customHeight="1">
      <c r="A1394" s="154"/>
      <c r="B1394" s="154"/>
      <c r="C1394" s="155"/>
      <c r="D1394" s="156"/>
      <c r="E1394" s="157"/>
      <c r="F1394" s="158"/>
      <c r="G1394" s="156"/>
      <c r="H1394" s="156"/>
      <c r="I1394" s="130"/>
      <c r="J1394" s="130"/>
      <c r="K1394" s="130"/>
    </row>
    <row r="1395" ht="15.75" customHeight="1">
      <c r="A1395" s="154"/>
      <c r="B1395" s="154"/>
      <c r="C1395" s="155"/>
      <c r="D1395" s="156"/>
      <c r="E1395" s="157"/>
      <c r="F1395" s="158"/>
      <c r="G1395" s="156"/>
      <c r="H1395" s="156"/>
      <c r="I1395" s="130"/>
      <c r="J1395" s="130"/>
      <c r="K1395" s="130"/>
    </row>
    <row r="1396" ht="15.75" customHeight="1">
      <c r="A1396" s="154"/>
      <c r="B1396" s="154"/>
      <c r="C1396" s="155"/>
      <c r="D1396" s="156"/>
      <c r="E1396" s="157"/>
      <c r="F1396" s="158"/>
      <c r="G1396" s="156"/>
      <c r="H1396" s="156"/>
      <c r="I1396" s="130"/>
      <c r="J1396" s="130"/>
      <c r="K1396" s="130"/>
    </row>
    <row r="1397" ht="15.75" customHeight="1">
      <c r="A1397" s="154"/>
      <c r="B1397" s="154"/>
      <c r="C1397" s="155"/>
      <c r="D1397" s="156"/>
      <c r="E1397" s="157"/>
      <c r="F1397" s="158"/>
      <c r="G1397" s="156"/>
      <c r="H1397" s="156"/>
      <c r="I1397" s="130"/>
      <c r="J1397" s="130"/>
      <c r="K1397" s="130"/>
    </row>
    <row r="1398" ht="15.75" customHeight="1">
      <c r="A1398" s="154"/>
      <c r="B1398" s="154"/>
      <c r="C1398" s="155"/>
      <c r="D1398" s="156"/>
      <c r="E1398" s="157"/>
      <c r="F1398" s="158"/>
      <c r="G1398" s="156"/>
      <c r="H1398" s="156"/>
      <c r="I1398" s="130"/>
      <c r="J1398" s="130"/>
      <c r="K1398" s="130"/>
    </row>
    <row r="1399" ht="15.75" customHeight="1">
      <c r="A1399" s="154"/>
      <c r="B1399" s="154"/>
      <c r="C1399" s="155"/>
      <c r="D1399" s="156"/>
      <c r="E1399" s="157"/>
      <c r="F1399" s="158"/>
      <c r="G1399" s="156"/>
      <c r="H1399" s="156"/>
      <c r="I1399" s="130"/>
      <c r="J1399" s="130"/>
      <c r="K1399" s="130"/>
    </row>
    <row r="1400" ht="15.75" customHeight="1">
      <c r="A1400" s="154"/>
      <c r="B1400" s="154"/>
      <c r="C1400" s="155"/>
      <c r="D1400" s="156"/>
      <c r="E1400" s="157"/>
      <c r="F1400" s="158"/>
      <c r="G1400" s="156"/>
      <c r="H1400" s="156"/>
      <c r="I1400" s="130"/>
      <c r="J1400" s="130"/>
      <c r="K1400" s="130"/>
    </row>
    <row r="1401" ht="15.75" customHeight="1">
      <c r="A1401" s="154"/>
      <c r="B1401" s="154"/>
      <c r="C1401" s="155"/>
      <c r="D1401" s="156"/>
      <c r="E1401" s="157"/>
      <c r="F1401" s="158"/>
      <c r="G1401" s="156"/>
      <c r="H1401" s="156"/>
      <c r="I1401" s="130"/>
      <c r="J1401" s="130"/>
      <c r="K1401" s="130"/>
    </row>
    <row r="1402" ht="15.75" customHeight="1">
      <c r="A1402" s="154"/>
      <c r="B1402" s="154"/>
      <c r="C1402" s="155"/>
      <c r="D1402" s="156"/>
      <c r="E1402" s="157"/>
      <c r="F1402" s="158"/>
      <c r="G1402" s="156"/>
      <c r="H1402" s="156"/>
      <c r="I1402" s="130"/>
      <c r="J1402" s="130"/>
      <c r="K1402" s="130"/>
    </row>
    <row r="1403" ht="15.75" customHeight="1">
      <c r="A1403" s="154"/>
      <c r="B1403" s="154"/>
      <c r="C1403" s="155"/>
      <c r="D1403" s="156"/>
      <c r="E1403" s="157"/>
      <c r="F1403" s="158"/>
      <c r="G1403" s="156"/>
      <c r="H1403" s="156"/>
      <c r="I1403" s="130"/>
      <c r="J1403" s="130"/>
      <c r="K1403" s="130"/>
    </row>
    <row r="1404" ht="15.75" customHeight="1">
      <c r="A1404" s="154"/>
      <c r="B1404" s="154"/>
      <c r="C1404" s="155"/>
      <c r="D1404" s="156"/>
      <c r="E1404" s="157"/>
      <c r="F1404" s="158"/>
      <c r="G1404" s="156"/>
      <c r="H1404" s="156"/>
      <c r="I1404" s="130"/>
      <c r="J1404" s="130"/>
      <c r="K1404" s="130"/>
    </row>
    <row r="1405" ht="15.75" customHeight="1">
      <c r="A1405" s="154"/>
      <c r="B1405" s="154"/>
      <c r="C1405" s="155"/>
      <c r="D1405" s="156"/>
      <c r="E1405" s="157"/>
      <c r="F1405" s="158"/>
      <c r="G1405" s="156"/>
      <c r="H1405" s="156"/>
      <c r="I1405" s="130"/>
      <c r="J1405" s="130"/>
      <c r="K1405" s="130"/>
    </row>
    <row r="1406" ht="15.75" customHeight="1">
      <c r="A1406" s="154"/>
      <c r="B1406" s="154"/>
      <c r="C1406" s="155"/>
      <c r="D1406" s="156"/>
      <c r="E1406" s="157"/>
      <c r="F1406" s="158"/>
      <c r="G1406" s="156"/>
      <c r="H1406" s="156"/>
      <c r="I1406" s="130"/>
      <c r="J1406" s="130"/>
      <c r="K1406" s="130"/>
    </row>
    <row r="1407" ht="15.75" customHeight="1">
      <c r="A1407" s="154"/>
      <c r="B1407" s="154"/>
      <c r="C1407" s="155"/>
      <c r="D1407" s="156"/>
      <c r="E1407" s="157"/>
      <c r="F1407" s="158"/>
      <c r="G1407" s="156"/>
      <c r="H1407" s="156"/>
      <c r="I1407" s="130"/>
      <c r="J1407" s="130"/>
      <c r="K1407" s="130"/>
    </row>
    <row r="1408" ht="15.75" customHeight="1">
      <c r="A1408" s="154"/>
      <c r="B1408" s="154"/>
      <c r="C1408" s="155"/>
      <c r="D1408" s="156"/>
      <c r="E1408" s="157"/>
      <c r="F1408" s="158"/>
      <c r="G1408" s="156"/>
      <c r="H1408" s="156"/>
      <c r="I1408" s="130"/>
      <c r="J1408" s="130"/>
      <c r="K1408" s="130"/>
    </row>
    <row r="1409" ht="15.75" customHeight="1">
      <c r="A1409" s="154"/>
      <c r="B1409" s="154"/>
      <c r="C1409" s="155"/>
      <c r="D1409" s="156"/>
      <c r="E1409" s="157"/>
      <c r="F1409" s="158"/>
      <c r="G1409" s="156"/>
      <c r="H1409" s="156"/>
      <c r="I1409" s="130"/>
      <c r="J1409" s="130"/>
      <c r="K1409" s="130"/>
    </row>
    <row r="1410" ht="15.75" customHeight="1">
      <c r="A1410" s="154"/>
      <c r="B1410" s="154"/>
      <c r="C1410" s="155"/>
      <c r="D1410" s="156"/>
      <c r="E1410" s="157"/>
      <c r="F1410" s="158"/>
      <c r="G1410" s="156"/>
      <c r="H1410" s="156"/>
      <c r="I1410" s="130"/>
      <c r="J1410" s="130"/>
      <c r="K1410" s="130"/>
    </row>
    <row r="1411" ht="15.75" customHeight="1">
      <c r="A1411" s="154"/>
      <c r="B1411" s="154"/>
      <c r="C1411" s="155"/>
      <c r="D1411" s="156"/>
      <c r="E1411" s="157"/>
      <c r="F1411" s="158"/>
      <c r="G1411" s="156"/>
      <c r="H1411" s="156"/>
      <c r="I1411" s="130"/>
      <c r="J1411" s="130"/>
      <c r="K1411" s="130"/>
    </row>
    <row r="1412" ht="15.75" customHeight="1">
      <c r="A1412" s="154"/>
      <c r="B1412" s="154"/>
      <c r="C1412" s="155"/>
      <c r="D1412" s="156"/>
      <c r="E1412" s="157"/>
      <c r="F1412" s="158"/>
      <c r="G1412" s="156"/>
      <c r="H1412" s="156"/>
      <c r="I1412" s="130"/>
      <c r="J1412" s="130"/>
      <c r="K1412" s="130"/>
    </row>
    <row r="1413" ht="15.75" customHeight="1">
      <c r="A1413" s="154"/>
      <c r="B1413" s="154"/>
      <c r="C1413" s="155"/>
      <c r="D1413" s="156"/>
      <c r="E1413" s="157"/>
      <c r="F1413" s="158"/>
      <c r="G1413" s="156"/>
      <c r="H1413" s="156"/>
      <c r="I1413" s="130"/>
      <c r="J1413" s="130"/>
      <c r="K1413" s="130"/>
    </row>
    <row r="1414" ht="15.75" customHeight="1">
      <c r="A1414" s="154"/>
      <c r="B1414" s="154"/>
      <c r="C1414" s="155"/>
      <c r="D1414" s="156"/>
      <c r="E1414" s="157"/>
      <c r="F1414" s="158"/>
      <c r="G1414" s="156"/>
      <c r="H1414" s="156"/>
      <c r="I1414" s="130"/>
      <c r="J1414" s="130"/>
      <c r="K1414" s="130"/>
    </row>
    <row r="1415" ht="15.75" customHeight="1">
      <c r="A1415" s="154"/>
      <c r="B1415" s="154"/>
      <c r="C1415" s="155"/>
      <c r="D1415" s="156"/>
      <c r="E1415" s="157"/>
      <c r="F1415" s="158"/>
      <c r="G1415" s="156"/>
      <c r="H1415" s="156"/>
      <c r="I1415" s="130"/>
      <c r="J1415" s="130"/>
      <c r="K1415" s="130"/>
    </row>
    <row r="1416" ht="15.75" customHeight="1">
      <c r="A1416" s="154"/>
      <c r="B1416" s="154"/>
      <c r="C1416" s="155"/>
      <c r="D1416" s="156"/>
      <c r="E1416" s="157"/>
      <c r="F1416" s="158"/>
      <c r="G1416" s="156"/>
      <c r="H1416" s="156"/>
      <c r="I1416" s="130"/>
      <c r="J1416" s="130"/>
      <c r="K1416" s="130"/>
    </row>
    <row r="1417" ht="15.75" customHeight="1">
      <c r="A1417" s="154"/>
      <c r="B1417" s="154"/>
      <c r="C1417" s="155"/>
      <c r="D1417" s="156"/>
      <c r="E1417" s="157"/>
      <c r="F1417" s="158"/>
      <c r="G1417" s="156"/>
      <c r="H1417" s="156"/>
      <c r="I1417" s="130"/>
      <c r="J1417" s="130"/>
      <c r="K1417" s="130"/>
    </row>
    <row r="1418" ht="15.75" customHeight="1">
      <c r="A1418" s="154"/>
      <c r="B1418" s="154"/>
      <c r="C1418" s="155"/>
      <c r="D1418" s="156"/>
      <c r="E1418" s="157"/>
      <c r="F1418" s="158"/>
      <c r="G1418" s="156"/>
      <c r="H1418" s="156"/>
      <c r="I1418" s="130"/>
      <c r="J1418" s="130"/>
      <c r="K1418" s="130"/>
    </row>
    <row r="1419" ht="15.75" customHeight="1">
      <c r="A1419" s="154"/>
      <c r="B1419" s="154"/>
      <c r="C1419" s="155"/>
      <c r="D1419" s="156"/>
      <c r="E1419" s="157"/>
      <c r="F1419" s="158"/>
      <c r="G1419" s="156"/>
      <c r="H1419" s="156"/>
      <c r="I1419" s="130"/>
      <c r="J1419" s="130"/>
      <c r="K1419" s="130"/>
    </row>
    <row r="1420" ht="15.75" customHeight="1">
      <c r="A1420" s="154"/>
      <c r="B1420" s="154"/>
      <c r="C1420" s="155"/>
      <c r="D1420" s="156"/>
      <c r="E1420" s="157"/>
      <c r="F1420" s="158"/>
      <c r="G1420" s="156"/>
      <c r="H1420" s="156"/>
      <c r="I1420" s="130"/>
      <c r="J1420" s="130"/>
      <c r="K1420" s="130"/>
    </row>
    <row r="1421" ht="15.75" customHeight="1">
      <c r="A1421" s="154"/>
      <c r="B1421" s="154"/>
      <c r="C1421" s="155"/>
      <c r="D1421" s="156"/>
      <c r="E1421" s="157"/>
      <c r="F1421" s="158"/>
      <c r="G1421" s="156"/>
      <c r="H1421" s="156"/>
      <c r="I1421" s="130"/>
      <c r="J1421" s="130"/>
      <c r="K1421" s="130"/>
    </row>
    <row r="1422" ht="15.75" customHeight="1">
      <c r="A1422" s="154"/>
      <c r="B1422" s="154"/>
      <c r="C1422" s="155"/>
      <c r="D1422" s="156"/>
      <c r="E1422" s="157"/>
      <c r="F1422" s="158"/>
      <c r="G1422" s="156"/>
      <c r="H1422" s="156"/>
      <c r="I1422" s="130"/>
      <c r="J1422" s="130"/>
      <c r="K1422" s="130"/>
    </row>
    <row r="1423" ht="15.75" customHeight="1">
      <c r="A1423" s="154"/>
      <c r="B1423" s="154"/>
      <c r="C1423" s="155"/>
      <c r="D1423" s="156"/>
      <c r="E1423" s="157"/>
      <c r="F1423" s="158"/>
      <c r="G1423" s="156"/>
      <c r="H1423" s="156"/>
      <c r="I1423" s="130"/>
      <c r="J1423" s="130"/>
      <c r="K1423" s="130"/>
    </row>
    <row r="1424" ht="15.75" customHeight="1">
      <c r="A1424" s="154"/>
      <c r="B1424" s="154"/>
      <c r="C1424" s="155"/>
      <c r="D1424" s="156"/>
      <c r="E1424" s="157"/>
      <c r="F1424" s="158"/>
      <c r="G1424" s="156"/>
      <c r="H1424" s="156"/>
      <c r="I1424" s="130"/>
      <c r="J1424" s="130"/>
      <c r="K1424" s="130"/>
    </row>
    <row r="1425" ht="15.75" customHeight="1">
      <c r="A1425" s="154"/>
      <c r="B1425" s="154"/>
      <c r="C1425" s="155"/>
      <c r="D1425" s="156"/>
      <c r="E1425" s="157"/>
      <c r="F1425" s="158"/>
      <c r="G1425" s="156"/>
      <c r="H1425" s="156"/>
      <c r="I1425" s="130"/>
      <c r="J1425" s="130"/>
      <c r="K1425" s="130"/>
    </row>
    <row r="1426" ht="15.75" customHeight="1">
      <c r="A1426" s="154"/>
      <c r="B1426" s="154"/>
      <c r="C1426" s="155"/>
      <c r="D1426" s="156"/>
      <c r="E1426" s="157"/>
      <c r="F1426" s="158"/>
      <c r="G1426" s="156"/>
      <c r="H1426" s="156"/>
      <c r="I1426" s="130"/>
      <c r="J1426" s="130"/>
      <c r="K1426" s="130"/>
    </row>
    <row r="1427" ht="15.75" customHeight="1">
      <c r="A1427" s="154"/>
      <c r="B1427" s="154"/>
      <c r="C1427" s="155"/>
      <c r="D1427" s="156"/>
      <c r="E1427" s="157"/>
      <c r="F1427" s="158"/>
      <c r="G1427" s="156"/>
      <c r="H1427" s="156"/>
      <c r="I1427" s="130"/>
      <c r="J1427" s="130"/>
      <c r="K1427" s="130"/>
    </row>
    <row r="1428" ht="15.75" customHeight="1">
      <c r="A1428" s="154"/>
      <c r="B1428" s="154"/>
      <c r="C1428" s="155"/>
      <c r="D1428" s="156"/>
      <c r="E1428" s="157"/>
      <c r="F1428" s="158"/>
      <c r="G1428" s="156"/>
      <c r="H1428" s="156"/>
      <c r="I1428" s="130"/>
      <c r="J1428" s="130"/>
      <c r="K1428" s="130"/>
    </row>
    <row r="1429" ht="15.75" customHeight="1">
      <c r="A1429" s="154"/>
      <c r="B1429" s="154"/>
      <c r="C1429" s="155"/>
      <c r="D1429" s="156"/>
      <c r="E1429" s="157"/>
      <c r="F1429" s="158"/>
      <c r="G1429" s="156"/>
      <c r="H1429" s="156"/>
      <c r="I1429" s="130"/>
      <c r="J1429" s="130"/>
      <c r="K1429" s="130"/>
    </row>
    <row r="1430" ht="15.75" customHeight="1">
      <c r="A1430" s="154"/>
      <c r="B1430" s="154"/>
      <c r="C1430" s="155"/>
      <c r="D1430" s="156"/>
      <c r="E1430" s="157"/>
      <c r="F1430" s="158"/>
      <c r="G1430" s="156"/>
      <c r="H1430" s="156"/>
      <c r="I1430" s="130"/>
      <c r="J1430" s="130"/>
      <c r="K1430" s="130"/>
    </row>
    <row r="1431" ht="15.75" customHeight="1">
      <c r="A1431" s="154"/>
      <c r="B1431" s="154"/>
      <c r="C1431" s="155"/>
      <c r="D1431" s="156"/>
      <c r="E1431" s="157"/>
      <c r="F1431" s="158"/>
      <c r="G1431" s="156"/>
      <c r="H1431" s="156"/>
      <c r="I1431" s="130"/>
      <c r="J1431" s="130"/>
      <c r="K1431" s="130"/>
    </row>
    <row r="1432" ht="15.75" customHeight="1">
      <c r="A1432" s="154"/>
      <c r="B1432" s="154"/>
      <c r="C1432" s="155"/>
      <c r="D1432" s="156"/>
      <c r="E1432" s="157"/>
      <c r="F1432" s="158"/>
      <c r="G1432" s="156"/>
      <c r="H1432" s="156"/>
      <c r="I1432" s="130"/>
      <c r="J1432" s="130"/>
      <c r="K1432" s="130"/>
    </row>
    <row r="1433" ht="15.75" customHeight="1">
      <c r="A1433" s="154"/>
      <c r="B1433" s="154"/>
      <c r="C1433" s="155"/>
      <c r="D1433" s="156"/>
      <c r="E1433" s="157"/>
      <c r="F1433" s="158"/>
      <c r="G1433" s="156"/>
      <c r="H1433" s="156"/>
      <c r="I1433" s="130"/>
      <c r="J1433" s="130"/>
      <c r="K1433" s="130"/>
    </row>
    <row r="1434" ht="15.75" customHeight="1">
      <c r="A1434" s="154"/>
      <c r="B1434" s="154"/>
      <c r="C1434" s="155"/>
      <c r="D1434" s="156"/>
      <c r="E1434" s="157"/>
      <c r="F1434" s="158"/>
      <c r="G1434" s="156"/>
      <c r="H1434" s="156"/>
      <c r="I1434" s="130"/>
      <c r="J1434" s="130"/>
      <c r="K1434" s="130"/>
    </row>
    <row r="1435" ht="15.75" customHeight="1">
      <c r="A1435" s="154"/>
      <c r="B1435" s="154"/>
      <c r="C1435" s="155"/>
      <c r="D1435" s="156"/>
      <c r="E1435" s="157"/>
      <c r="F1435" s="158"/>
      <c r="G1435" s="156"/>
      <c r="H1435" s="156"/>
      <c r="I1435" s="130"/>
      <c r="J1435" s="130"/>
      <c r="K1435" s="130"/>
    </row>
    <row r="1436" ht="15.75" customHeight="1">
      <c r="A1436" s="154"/>
      <c r="B1436" s="154"/>
      <c r="C1436" s="155"/>
      <c r="D1436" s="156"/>
      <c r="E1436" s="157"/>
      <c r="F1436" s="158"/>
      <c r="G1436" s="156"/>
      <c r="H1436" s="156"/>
      <c r="I1436" s="130"/>
      <c r="J1436" s="130"/>
      <c r="K1436" s="130"/>
    </row>
    <row r="1437" ht="15.75" customHeight="1">
      <c r="A1437" s="154"/>
      <c r="B1437" s="154"/>
      <c r="C1437" s="155"/>
      <c r="D1437" s="156"/>
      <c r="E1437" s="157"/>
      <c r="F1437" s="158"/>
      <c r="G1437" s="156"/>
      <c r="H1437" s="156"/>
      <c r="I1437" s="130"/>
      <c r="J1437" s="130"/>
      <c r="K1437" s="130"/>
    </row>
    <row r="1438" ht="15.75" customHeight="1">
      <c r="A1438" s="154"/>
      <c r="B1438" s="154"/>
      <c r="C1438" s="155"/>
      <c r="D1438" s="156"/>
      <c r="E1438" s="157"/>
      <c r="F1438" s="158"/>
      <c r="G1438" s="156"/>
      <c r="H1438" s="156"/>
      <c r="I1438" s="130"/>
      <c r="J1438" s="130"/>
      <c r="K1438" s="130"/>
    </row>
    <row r="1439" ht="15.75" customHeight="1">
      <c r="A1439" s="154"/>
      <c r="B1439" s="154"/>
      <c r="C1439" s="155"/>
      <c r="D1439" s="156"/>
      <c r="E1439" s="157"/>
      <c r="F1439" s="158"/>
      <c r="G1439" s="156"/>
      <c r="H1439" s="156"/>
      <c r="I1439" s="130"/>
      <c r="J1439" s="130"/>
      <c r="K1439" s="130"/>
    </row>
    <row r="1440" ht="15.75" customHeight="1">
      <c r="A1440" s="154"/>
      <c r="B1440" s="154"/>
      <c r="C1440" s="155"/>
      <c r="D1440" s="156"/>
      <c r="E1440" s="157"/>
      <c r="F1440" s="158"/>
      <c r="G1440" s="156"/>
      <c r="H1440" s="156"/>
      <c r="I1440" s="130"/>
      <c r="J1440" s="130"/>
      <c r="K1440" s="130"/>
    </row>
    <row r="1441" ht="15.75" customHeight="1">
      <c r="A1441" s="154"/>
      <c r="B1441" s="154"/>
      <c r="C1441" s="155"/>
      <c r="D1441" s="156"/>
      <c r="E1441" s="157"/>
      <c r="F1441" s="158"/>
      <c r="G1441" s="156"/>
      <c r="H1441" s="156"/>
      <c r="I1441" s="130"/>
      <c r="J1441" s="130"/>
      <c r="K1441" s="130"/>
    </row>
    <row r="1442" ht="15.75" customHeight="1">
      <c r="A1442" s="154"/>
      <c r="B1442" s="154"/>
      <c r="C1442" s="155"/>
      <c r="D1442" s="156"/>
      <c r="E1442" s="157"/>
      <c r="F1442" s="158"/>
      <c r="G1442" s="156"/>
      <c r="H1442" s="156"/>
      <c r="I1442" s="130"/>
      <c r="J1442" s="130"/>
      <c r="K1442" s="130"/>
    </row>
    <row r="1443" ht="15.75" customHeight="1">
      <c r="A1443" s="154"/>
      <c r="B1443" s="154"/>
      <c r="C1443" s="155"/>
      <c r="D1443" s="156"/>
      <c r="E1443" s="157"/>
      <c r="F1443" s="158"/>
      <c r="G1443" s="156"/>
      <c r="H1443" s="156"/>
      <c r="I1443" s="130"/>
      <c r="J1443" s="130"/>
      <c r="K1443" s="130"/>
    </row>
    <row r="1444" ht="15.75" customHeight="1">
      <c r="A1444" s="154"/>
      <c r="B1444" s="154"/>
      <c r="C1444" s="155"/>
      <c r="D1444" s="156"/>
      <c r="E1444" s="157"/>
      <c r="F1444" s="158"/>
      <c r="G1444" s="156"/>
      <c r="H1444" s="156"/>
      <c r="I1444" s="130"/>
      <c r="J1444" s="130"/>
      <c r="K1444" s="130"/>
    </row>
    <row r="1445" ht="15.75" customHeight="1">
      <c r="A1445" s="154"/>
      <c r="B1445" s="154"/>
      <c r="C1445" s="155"/>
      <c r="D1445" s="156"/>
      <c r="E1445" s="157"/>
      <c r="F1445" s="158"/>
      <c r="G1445" s="156"/>
      <c r="H1445" s="156"/>
      <c r="I1445" s="130"/>
      <c r="J1445" s="130"/>
      <c r="K1445" s="130"/>
    </row>
    <row r="1446" ht="15.75" customHeight="1">
      <c r="A1446" s="154"/>
      <c r="B1446" s="154"/>
      <c r="C1446" s="155"/>
      <c r="D1446" s="156"/>
      <c r="E1446" s="157"/>
      <c r="F1446" s="158"/>
      <c r="G1446" s="156"/>
      <c r="H1446" s="156"/>
      <c r="I1446" s="130"/>
      <c r="J1446" s="130"/>
      <c r="K1446" s="130"/>
    </row>
    <row r="1447" ht="15.75" customHeight="1">
      <c r="A1447" s="154"/>
      <c r="B1447" s="154"/>
      <c r="C1447" s="155"/>
      <c r="D1447" s="156"/>
      <c r="E1447" s="157"/>
      <c r="F1447" s="158"/>
      <c r="G1447" s="156"/>
      <c r="H1447" s="156"/>
      <c r="I1447" s="130"/>
      <c r="J1447" s="130"/>
      <c r="K1447" s="130"/>
    </row>
    <row r="1448" ht="15.75" customHeight="1">
      <c r="A1448" s="154"/>
      <c r="B1448" s="154"/>
      <c r="C1448" s="155"/>
      <c r="D1448" s="156"/>
      <c r="E1448" s="157"/>
      <c r="F1448" s="158"/>
      <c r="G1448" s="156"/>
      <c r="H1448" s="156"/>
      <c r="I1448" s="130"/>
      <c r="J1448" s="130"/>
      <c r="K1448" s="130"/>
    </row>
    <row r="1449" ht="15.75" customHeight="1">
      <c r="A1449" s="154"/>
      <c r="B1449" s="154"/>
      <c r="C1449" s="155"/>
      <c r="D1449" s="156"/>
      <c r="E1449" s="157"/>
      <c r="F1449" s="158"/>
      <c r="G1449" s="156"/>
      <c r="H1449" s="156"/>
      <c r="I1449" s="130"/>
      <c r="J1449" s="130"/>
      <c r="K1449" s="130"/>
    </row>
    <row r="1450" ht="15.75" customHeight="1">
      <c r="A1450" s="154"/>
      <c r="B1450" s="154"/>
      <c r="C1450" s="155"/>
      <c r="D1450" s="156"/>
      <c r="E1450" s="157"/>
      <c r="F1450" s="158"/>
      <c r="G1450" s="156"/>
      <c r="H1450" s="156"/>
      <c r="I1450" s="130"/>
      <c r="J1450" s="130"/>
      <c r="K1450" s="130"/>
    </row>
    <row r="1451" ht="15.75" customHeight="1">
      <c r="A1451" s="154"/>
      <c r="B1451" s="154"/>
      <c r="C1451" s="155"/>
      <c r="D1451" s="156"/>
      <c r="E1451" s="157"/>
      <c r="F1451" s="158"/>
      <c r="G1451" s="156"/>
      <c r="H1451" s="156"/>
      <c r="I1451" s="130"/>
      <c r="J1451" s="130"/>
      <c r="K1451" s="130"/>
    </row>
    <row r="1452" ht="15.75" customHeight="1">
      <c r="A1452" s="154"/>
      <c r="B1452" s="154"/>
      <c r="C1452" s="155"/>
      <c r="D1452" s="156"/>
      <c r="E1452" s="157"/>
      <c r="F1452" s="158"/>
      <c r="G1452" s="156"/>
      <c r="H1452" s="156"/>
      <c r="I1452" s="130"/>
      <c r="J1452" s="130"/>
      <c r="K1452" s="130"/>
    </row>
    <row r="1453" ht="15.75" customHeight="1">
      <c r="A1453" s="154"/>
      <c r="B1453" s="154"/>
      <c r="C1453" s="155"/>
      <c r="D1453" s="156"/>
      <c r="E1453" s="157"/>
      <c r="F1453" s="158"/>
      <c r="G1453" s="156"/>
      <c r="H1453" s="156"/>
      <c r="I1453" s="130"/>
      <c r="J1453" s="130"/>
      <c r="K1453" s="130"/>
    </row>
    <row r="1454" ht="15.75" customHeight="1">
      <c r="A1454" s="154"/>
      <c r="B1454" s="154"/>
      <c r="C1454" s="155"/>
      <c r="D1454" s="156"/>
      <c r="E1454" s="157"/>
      <c r="F1454" s="158"/>
      <c r="G1454" s="156"/>
      <c r="H1454" s="156"/>
      <c r="I1454" s="130"/>
      <c r="J1454" s="130"/>
      <c r="K1454" s="130"/>
    </row>
    <row r="1455" ht="15.75" customHeight="1">
      <c r="A1455" s="154"/>
      <c r="B1455" s="154"/>
      <c r="C1455" s="155"/>
      <c r="D1455" s="156"/>
      <c r="E1455" s="157"/>
      <c r="F1455" s="158"/>
      <c r="G1455" s="156"/>
      <c r="H1455" s="156"/>
      <c r="I1455" s="130"/>
      <c r="J1455" s="130"/>
      <c r="K1455" s="130"/>
    </row>
    <row r="1456" ht="15.75" customHeight="1">
      <c r="A1456" s="154"/>
      <c r="B1456" s="154"/>
      <c r="C1456" s="155"/>
      <c r="D1456" s="156"/>
      <c r="E1456" s="157"/>
      <c r="F1456" s="158"/>
      <c r="G1456" s="156"/>
      <c r="H1456" s="156"/>
      <c r="I1456" s="130"/>
      <c r="J1456" s="130"/>
      <c r="K1456" s="130"/>
    </row>
    <row r="1457" ht="15.75" customHeight="1">
      <c r="A1457" s="154"/>
      <c r="B1457" s="154"/>
      <c r="C1457" s="155"/>
      <c r="D1457" s="156"/>
      <c r="E1457" s="157"/>
      <c r="F1457" s="158"/>
      <c r="G1457" s="156"/>
      <c r="H1457" s="156"/>
      <c r="I1457" s="130"/>
      <c r="J1457" s="130"/>
      <c r="K1457" s="130"/>
    </row>
    <row r="1458" ht="15.75" customHeight="1">
      <c r="A1458" s="154"/>
      <c r="B1458" s="154"/>
      <c r="C1458" s="155"/>
      <c r="D1458" s="156"/>
      <c r="E1458" s="157"/>
      <c r="F1458" s="158"/>
      <c r="G1458" s="156"/>
      <c r="H1458" s="156"/>
      <c r="I1458" s="130"/>
      <c r="J1458" s="130"/>
      <c r="K1458" s="130"/>
    </row>
  </sheetData>
  <mergeCells count="1">
    <mergeCell ref="J294:K294"/>
  </mergeCells>
  <dataValidations>
    <dataValidation type="list" allowBlank="1" showDropDown="1" showErrorMessage="1" sqref="E2:E796">
      <formula1>"Entrada,Saída"</formula1>
    </dataValidation>
    <dataValidation type="custom" allowBlank="1" showDropDown="1" sqref="A2:A796">
      <formula1>OR(NOT(ISERROR(DATEVALUE(A2))), AND(ISNUMBER(A2), LEFT(CELL("format", A2))="D"))</formula1>
    </dataValidation>
    <dataValidation type="custom" allowBlank="1" showDropDown="1" sqref="F2:F796">
      <formula1>AND(ISNUMBER(F2),(NOT(OR(NOT(ISERROR(DATEVALUE(F2))), AND(ISNUMBER(F2), LEFT(CELL("format", F2))="D")))))</formula1>
    </dataValidation>
  </dataValidations>
  <printOptions/>
  <pageMargins bottom="0.5294333357101385" footer="0.0" header="0.0" left="0.468926668771837" right="0.4386733353026862" top="0.49918000224098774"/>
  <pageSetup paperSize="9"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14"/>
    <col customWidth="1" min="2" max="2" width="93.29"/>
    <col customWidth="1" min="3" max="3" width="15.43"/>
    <col customWidth="1" min="4" max="5" width="11.14"/>
    <col customWidth="1" min="6" max="6" width="9.71"/>
    <col customWidth="1" min="7" max="7" width="13.86"/>
    <col customWidth="1" min="8" max="8" width="28.86"/>
    <col customWidth="1" min="9" max="9" width="15.71"/>
  </cols>
  <sheetData>
    <row r="1" ht="44.25" customHeight="1">
      <c r="A1" s="160" t="s">
        <v>0</v>
      </c>
      <c r="B1" s="161" t="s">
        <v>1</v>
      </c>
      <c r="C1" s="4" t="s">
        <v>4</v>
      </c>
      <c r="D1" s="162" t="s">
        <v>603</v>
      </c>
      <c r="E1" s="163" t="s">
        <v>604</v>
      </c>
      <c r="F1" s="163" t="s">
        <v>605</v>
      </c>
      <c r="G1" s="163" t="s">
        <v>606</v>
      </c>
      <c r="H1" s="164" t="s">
        <v>607</v>
      </c>
      <c r="I1" s="165" t="s">
        <v>2</v>
      </c>
    </row>
    <row r="2" ht="20.25" customHeight="1">
      <c r="A2" s="71" t="s">
        <v>9</v>
      </c>
      <c r="B2" s="20" t="str">
        <f>VLOOKUP(A2,produto,2,0)</f>
        <v>Algodão Hidrófilo Bola 100gr</v>
      </c>
      <c r="C2" s="8" t="str">
        <f>IFERROR(VLOOKUP(A2,PRODUTOS!A:E,5,FALSE), "Categoria não encontrada")</f>
        <v>CONSUMO</v>
      </c>
      <c r="D2" s="166" t="str">
        <f>IFERROR(VLOOKUP(A2,PRODUTOS!A:E,4,FALSE), "Categoria não encontrada")</f>
        <v>UN</v>
      </c>
      <c r="E2" s="166">
        <f>SUMIFS(MOVIMENTACOES!F:F,MOVIMENTACOES!C:C,A2,MOVIMENTACOES!E:E,"Entrada")</f>
        <v>2</v>
      </c>
      <c r="F2" s="167">
        <f>SUMIFS(MOVIMENTACOES!F:F,MOVIMENTACOES!C:C,A2,MOVIMENTACOES!E:E,"Saída")</f>
        <v>0</v>
      </c>
      <c r="G2" s="168">
        <f t="shared" ref="G2:G235" si="1">E2-F2</f>
        <v>2</v>
      </c>
      <c r="H2" s="169" t="str">
        <f t="shared" ref="H2:H235" si="2">IF(G2=0, "Faltando", IF(G2&lt;=3, "Atenção", "OK"))</f>
        <v>Atenção</v>
      </c>
      <c r="I2" s="170" t="str">
        <f>VLOOKUP(A2, PRODUTOS!A:H, 3, FALSE)</f>
        <v>SIGBP</v>
      </c>
    </row>
    <row r="3" ht="20.25" customHeight="1">
      <c r="A3" s="171">
        <v>2.00065892E8</v>
      </c>
      <c r="B3" s="20" t="str">
        <f>VLOOKUP(A3,produto,2,0)</f>
        <v>FITA ISOLANTE 18MMX20M COR PRETA</v>
      </c>
      <c r="C3" s="8" t="str">
        <f>IFERROR(VLOOKUP(A3,PRODUTOS!A:E,5,FALSE), "Categoria não encontrada")</f>
        <v>CONSUMO</v>
      </c>
      <c r="D3" s="166" t="str">
        <f>IFERROR(VLOOKUP(A3,PRODUTOS!A:E,4,FALSE), "Categoria não encontrada")</f>
        <v>UN</v>
      </c>
      <c r="E3" s="166">
        <f>SUMIFS(MOVIMENTACOES!F:F,MOVIMENTACOES!C:C,A3,MOVIMENTACOES!E:E,"Entrada")</f>
        <v>3</v>
      </c>
      <c r="F3" s="166">
        <f>SUMIFS(MOVIMENTACOES!F:F,MOVIMENTACOES!C:C,A3,MOVIMENTACOES!E:E,"Saída")</f>
        <v>2</v>
      </c>
      <c r="G3" s="168">
        <f t="shared" si="1"/>
        <v>1</v>
      </c>
      <c r="H3" s="169" t="str">
        <f t="shared" si="2"/>
        <v>Atenção</v>
      </c>
      <c r="I3" s="170" t="str">
        <f>VLOOKUP(A3, PRODUTOS!A:H, 3, FALSE)</f>
        <v>SIGBP</v>
      </c>
    </row>
    <row r="4" ht="20.25" customHeight="1">
      <c r="A4" s="104">
        <v>2.00037491E8</v>
      </c>
      <c r="B4" s="20" t="str">
        <f>VLOOKUP(A4,produto,2,0)</f>
        <v>MASCARA CIRURGICA TRIPLA</v>
      </c>
      <c r="C4" s="8" t="str">
        <f>IFERROR(VLOOKUP(A4,PRODUTOS!A:E,5,FALSE), "Categoria não encontrada")</f>
        <v>EPI</v>
      </c>
      <c r="D4" s="166" t="str">
        <f>IFERROR(VLOOKUP(A4,PRODUTOS!A:E,4,FALSE), "Categoria não encontrada")</f>
        <v>UN</v>
      </c>
      <c r="E4" s="167">
        <f>SUMIFS(MOVIMENTACOES!F:F,MOVIMENTACOES!C:C,A4,MOVIMENTACOES!E:E,"Entrada")</f>
        <v>10</v>
      </c>
      <c r="F4" s="167">
        <f>SUMIFS(MOVIMENTACOES!F:F,MOVIMENTACOES!C:C,A4,MOVIMENTACOES!E:E,"Saída")</f>
        <v>8</v>
      </c>
      <c r="G4" s="168">
        <f t="shared" si="1"/>
        <v>2</v>
      </c>
      <c r="H4" s="169" t="str">
        <f t="shared" si="2"/>
        <v>Atenção</v>
      </c>
      <c r="I4" s="170" t="str">
        <f>VLOOKUP(A4, PRODUTOS!A:H, 3, FALSE)</f>
        <v>SIGBP</v>
      </c>
    </row>
    <row r="5" ht="20.25" customHeight="1">
      <c r="A5" s="104">
        <v>2.00065969E8</v>
      </c>
      <c r="B5" s="20" t="str">
        <f>VLOOKUP(A5,produto,2,0)</f>
        <v>OCULOS DE PROTEÇÃO JAGUAR</v>
      </c>
      <c r="C5" s="8" t="str">
        <f>IFERROR(VLOOKUP(A5,PRODUTOS!A:E,5,FALSE), "Categoria não encontrada")</f>
        <v>EPI</v>
      </c>
      <c r="D5" s="166" t="str">
        <f>IFERROR(VLOOKUP(A5,PRODUTOS!A:E,4,FALSE), "Categoria não encontrada")</f>
        <v>UN</v>
      </c>
      <c r="E5" s="167">
        <f>SUMIFS(MOVIMENTACOES!F:F,MOVIMENTACOES!C:C,A5,MOVIMENTACOES!E:E,"Entrada")</f>
        <v>4</v>
      </c>
      <c r="F5" s="167">
        <f>SUMIFS(MOVIMENTACOES!F:F,MOVIMENTACOES!C:C,A5,MOVIMENTACOES!E:E,"Saída")</f>
        <v>2</v>
      </c>
      <c r="G5" s="168">
        <f t="shared" si="1"/>
        <v>2</v>
      </c>
      <c r="H5" s="169" t="str">
        <f t="shared" si="2"/>
        <v>Atenção</v>
      </c>
      <c r="I5" s="170" t="str">
        <f>VLOOKUP(A5, PRODUTOS!A:H, 3, FALSE)</f>
        <v>SIGBP</v>
      </c>
    </row>
    <row r="6" ht="20.25" customHeight="1">
      <c r="A6" s="104">
        <v>2.0005248E8</v>
      </c>
      <c r="B6" s="20" t="str">
        <f>VLOOKUP(A6,produto,2,0)</f>
        <v>PROTETOR AURICULAR DE SILICONE TIPO PLUG</v>
      </c>
      <c r="C6" s="8" t="str">
        <f>IFERROR(VLOOKUP(A6,PRODUTOS!A:E,5,FALSE), "Categoria não encontrada")</f>
        <v>EPI</v>
      </c>
      <c r="D6" s="166" t="str">
        <f>IFERROR(VLOOKUP(A6,PRODUTOS!A:E,4,FALSE), "Categoria não encontrada")</f>
        <v>UN</v>
      </c>
      <c r="E6" s="167">
        <f>SUMIFS(MOVIMENTACOES!F:F,MOVIMENTACOES!C:C,A6,MOVIMENTACOES!E:E,"Entrada")</f>
        <v>1</v>
      </c>
      <c r="F6" s="167">
        <f>SUMIFS(MOVIMENTACOES!F:F,MOVIMENTACOES!C:C,A6,MOVIMENTACOES!E:E,"Saída")</f>
        <v>0</v>
      </c>
      <c r="G6" s="168">
        <f t="shared" si="1"/>
        <v>1</v>
      </c>
      <c r="H6" s="169" t="str">
        <f t="shared" si="2"/>
        <v>Atenção</v>
      </c>
      <c r="I6" s="170" t="str">
        <f>VLOOKUP(A6, PRODUTOS!A:H, 3, FALSE)</f>
        <v>SIGBP</v>
      </c>
    </row>
    <row r="7" ht="20.25" customHeight="1">
      <c r="A7" s="104">
        <v>2.00052481E8</v>
      </c>
      <c r="B7" s="20" t="str">
        <f>VLOOKUP(A7,produto,2,0)</f>
        <v>PROTETOR AURICULAR TIPO CONCHA</v>
      </c>
      <c r="C7" s="8" t="str">
        <f>IFERROR(VLOOKUP(A7,PRODUTOS!A:E,5,FALSE), "Categoria não encontrada")</f>
        <v>EPI</v>
      </c>
      <c r="D7" s="166" t="str">
        <f>IFERROR(VLOOKUP(A7,PRODUTOS!A:E,4,FALSE), "Categoria não encontrada")</f>
        <v>CX</v>
      </c>
      <c r="E7" s="167">
        <f>SUMIFS(MOVIMENTACOES!F:F,MOVIMENTACOES!C:C,A7,MOVIMENTACOES!E:E,"Entrada")</f>
        <v>1</v>
      </c>
      <c r="F7" s="167">
        <f>SUMIFS(MOVIMENTACOES!F:F,MOVIMENTACOES!C:C,A7,MOVIMENTACOES!E:E,"Saída")</f>
        <v>0</v>
      </c>
      <c r="G7" s="168">
        <f t="shared" si="1"/>
        <v>1</v>
      </c>
      <c r="H7" s="169" t="str">
        <f t="shared" si="2"/>
        <v>Atenção</v>
      </c>
      <c r="I7" s="170" t="str">
        <f>VLOOKUP(A7, PRODUTOS!A:H, 3, FALSE)</f>
        <v>SIGBP</v>
      </c>
    </row>
    <row r="8" ht="20.25" customHeight="1">
      <c r="A8" s="171">
        <v>2.000007E8</v>
      </c>
      <c r="B8" s="20" t="str">
        <f>VLOOKUP(A8,produto,2,0)</f>
        <v>TOUCA DESCARTAVEL PACOTE COM 100 UN</v>
      </c>
      <c r="C8" s="8" t="str">
        <f>IFERROR(VLOOKUP(A8,PRODUTOS!A:E,5,FALSE), "Categoria não encontrada")</f>
        <v>EPI</v>
      </c>
      <c r="D8" s="166" t="str">
        <f>IFERROR(VLOOKUP(A8,PRODUTOS!A:E,4,FALSE), "Categoria não encontrada")</f>
        <v>UN</v>
      </c>
      <c r="E8" s="166">
        <f>SUMIFS(MOVIMENTACOES!F:F,MOVIMENTACOES!C:C,A8,MOVIMENTACOES!E:E,"Entrada")</f>
        <v>1</v>
      </c>
      <c r="F8" s="167">
        <f>SUMIFS(MOVIMENTACOES!F:F,MOVIMENTACOES!C:C,A8,MOVIMENTACOES!E:E,"Saída")</f>
        <v>0</v>
      </c>
      <c r="G8" s="168">
        <f t="shared" si="1"/>
        <v>1</v>
      </c>
      <c r="H8" s="169" t="str">
        <f t="shared" si="2"/>
        <v>Atenção</v>
      </c>
      <c r="I8" s="170" t="str">
        <f>VLOOKUP(A8, PRODUTOS!A:H, 3, FALSE)</f>
        <v>SIGBP</v>
      </c>
    </row>
    <row r="9" ht="20.25" customHeight="1">
      <c r="A9" s="104">
        <v>2.00038284E8</v>
      </c>
      <c r="B9" s="20" t="str">
        <f>VLOOKUP(A9,produto,2,0)</f>
        <v>ABRAÇADEIRA DE NYLON 100X2,5MM</v>
      </c>
      <c r="C9" s="8" t="str">
        <f>IFERROR(VLOOKUP(A9,PRODUTOS!A:E,5,FALSE), "Categoria não encontrada")</f>
        <v>EXPEDIENTE</v>
      </c>
      <c r="D9" s="166" t="str">
        <f>IFERROR(VLOOKUP(A9,PRODUTOS!A:E,4,FALSE), "Categoria não encontrada")</f>
        <v>UN</v>
      </c>
      <c r="E9" s="167">
        <f>SUMIFS(MOVIMENTACOES!F:F,MOVIMENTACOES!C:C,A9,MOVIMENTACOES!E:E,"Entrada")</f>
        <v>2</v>
      </c>
      <c r="F9" s="167">
        <f>SUMIFS(MOVIMENTACOES!F:F,MOVIMENTACOES!C:C,A9,MOVIMENTACOES!E:E,"Saída")</f>
        <v>1</v>
      </c>
      <c r="G9" s="168">
        <f t="shared" si="1"/>
        <v>1</v>
      </c>
      <c r="H9" s="169" t="str">
        <f t="shared" si="2"/>
        <v>Atenção</v>
      </c>
      <c r="I9" s="170" t="str">
        <f>VLOOKUP(A9, PRODUTOS!A:H, 3, FALSE)</f>
        <v>SIGBP</v>
      </c>
    </row>
    <row r="10" ht="20.25" customHeight="1">
      <c r="A10" s="36">
        <v>2.00069551E8</v>
      </c>
      <c r="B10" s="20" t="str">
        <f>VLOOKUP(A10,produto,2,0)</f>
        <v>ALFINETE MARCADOR DE MAPA 8MM TIPO BOLA EM PLASTICO 50UN</v>
      </c>
      <c r="C10" s="8" t="str">
        <f>IFERROR(VLOOKUP(A10,PRODUTOS!A:E,5,FALSE), "Categoria não encontrada")</f>
        <v>EXPEDIENTE</v>
      </c>
      <c r="D10" s="166" t="str">
        <f>IFERROR(VLOOKUP(A10,PRODUTOS!A:E,4,FALSE), "Categoria não encontrada")</f>
        <v>CX</v>
      </c>
      <c r="E10" s="167">
        <f>SUMIFS(MOVIMENTACOES!F:F,MOVIMENTACOES!C:C,A10,MOVIMENTACOES!E:E,"Entrada")</f>
        <v>3</v>
      </c>
      <c r="F10" s="167">
        <f>SUMIFS(MOVIMENTACOES!F:F,MOVIMENTACOES!C:C,A10,MOVIMENTACOES!E:E,"Saída")</f>
        <v>1</v>
      </c>
      <c r="G10" s="168">
        <f t="shared" si="1"/>
        <v>2</v>
      </c>
      <c r="H10" s="169" t="str">
        <f t="shared" si="2"/>
        <v>Atenção</v>
      </c>
      <c r="I10" s="170" t="str">
        <f>VLOOKUP(A10, PRODUTOS!A:H, 3, FALSE)</f>
        <v>SIGBP</v>
      </c>
    </row>
    <row r="11" ht="20.25" customHeight="1">
      <c r="A11" s="171">
        <v>2.00043234E8</v>
      </c>
      <c r="B11" s="20" t="str">
        <f>VLOOKUP(A11,produto,2,0)</f>
        <v>ALFINETE PARA COSTURA CABO FINO Nº29</v>
      </c>
      <c r="C11" s="8" t="str">
        <f>IFERROR(VLOOKUP(A11,PRODUTOS!A:E,5,FALSE), "Categoria não encontrada")</f>
        <v>EXPEDIENTE</v>
      </c>
      <c r="D11" s="166" t="str">
        <f>IFERROR(VLOOKUP(A11,PRODUTOS!A:E,4,FALSE), "Categoria não encontrada")</f>
        <v>CX</v>
      </c>
      <c r="E11" s="167">
        <f>SUMIFS(MOVIMENTACOES!F:F,MOVIMENTACOES!C:C,A11,MOVIMENTACOES!E:E,"Entrada")</f>
        <v>3</v>
      </c>
      <c r="F11" s="167">
        <f>SUMIFS(MOVIMENTACOES!F:F,MOVIMENTACOES!C:C,A11,MOVIMENTACOES!E:E,"Saída")</f>
        <v>0</v>
      </c>
      <c r="G11" s="168">
        <f t="shared" si="1"/>
        <v>3</v>
      </c>
      <c r="H11" s="169" t="str">
        <f t="shared" si="2"/>
        <v>Atenção</v>
      </c>
      <c r="I11" s="170" t="str">
        <f>VLOOKUP(A11, PRODUTOS!A:H, 3, FALSE)</f>
        <v>SIGBP</v>
      </c>
    </row>
    <row r="12" ht="20.25" customHeight="1">
      <c r="A12" s="36">
        <v>2.00040799E8</v>
      </c>
      <c r="B12" s="20" t="str">
        <f>VLOOKUP(A12,produto,2,0)</f>
        <v>CAIXA ARQUIVO MORTO EM POLIONDA MED (380X175X290) MM NA COR AMARELA</v>
      </c>
      <c r="C12" s="8" t="str">
        <f>IFERROR(VLOOKUP(A12,PRODUTOS!A:E,5,FALSE), "Categoria não encontrada")</f>
        <v>EXPEDIENTE</v>
      </c>
      <c r="D12" s="166" t="str">
        <f>IFERROR(VLOOKUP(A12,PRODUTOS!A:E,4,FALSE), "Categoria não encontrada")</f>
        <v>UN</v>
      </c>
      <c r="E12" s="166">
        <f>SUMIFS(MOVIMENTACOES!F:F,MOVIMENTACOES!C:C,A12,MOVIMENTACOES!E:E,"Entrada")</f>
        <v>4</v>
      </c>
      <c r="F12" s="166">
        <f>SUMIFS(MOVIMENTACOES!F:F,MOVIMENTACOES!C:C,A12,MOVIMENTACOES!E:E,"Saída")</f>
        <v>2</v>
      </c>
      <c r="G12" s="168">
        <f t="shared" si="1"/>
        <v>2</v>
      </c>
      <c r="H12" s="169" t="str">
        <f t="shared" si="2"/>
        <v>Atenção</v>
      </c>
      <c r="I12" s="170" t="str">
        <f>VLOOKUP(A12, PRODUTOS!A:H, 3, FALSE)</f>
        <v>SIGBP</v>
      </c>
    </row>
    <row r="13" ht="20.25" customHeight="1">
      <c r="A13" s="104">
        <v>2.00036941E8</v>
      </c>
      <c r="B13" s="20" t="str">
        <f>VLOOKUP(A13,produto,2,0)</f>
        <v>COLA BRANCA BASTAO 10G</v>
      </c>
      <c r="C13" s="8" t="str">
        <f>IFERROR(VLOOKUP(A13,PRODUTOS!A:E,5,FALSE), "Categoria não encontrada")</f>
        <v>EXPEDIENTE</v>
      </c>
      <c r="D13" s="166" t="str">
        <f>IFERROR(VLOOKUP(A13,PRODUTOS!A:E,4,FALSE), "Categoria não encontrada")</f>
        <v>UN</v>
      </c>
      <c r="E13" s="167">
        <f>SUMIFS(MOVIMENTACOES!F:F,MOVIMENTACOES!C:C,A13,MOVIMENTACOES!E:E,"Entrada")</f>
        <v>2</v>
      </c>
      <c r="F13" s="167">
        <f>SUMIFS(MOVIMENTACOES!F:F,MOVIMENTACOES!C:C,A13,MOVIMENTACOES!E:E,"Saída")</f>
        <v>0</v>
      </c>
      <c r="G13" s="168">
        <f t="shared" si="1"/>
        <v>2</v>
      </c>
      <c r="H13" s="169" t="str">
        <f t="shared" si="2"/>
        <v>Atenção</v>
      </c>
      <c r="I13" s="170" t="str">
        <f>VLOOKUP(A13, PRODUTOS!A:H, 3, FALSE)</f>
        <v>SIGBP</v>
      </c>
    </row>
    <row r="14" ht="20.25" customHeight="1">
      <c r="A14" s="104">
        <v>2.00036189E8</v>
      </c>
      <c r="B14" s="20" t="str">
        <f>VLOOKUP(A14,produto,2,0)</f>
        <v>COPO DESCARTAVEL 180ML</v>
      </c>
      <c r="C14" s="8" t="str">
        <f>IFERROR(VLOOKUP(A14,PRODUTOS!A:E,5,FALSE), "Categoria não encontrada")</f>
        <v>EXPEDIENTE</v>
      </c>
      <c r="D14" s="166" t="str">
        <f>IFERROR(VLOOKUP(A14,PRODUTOS!A:E,4,FALSE), "Categoria não encontrada")</f>
        <v>UN</v>
      </c>
      <c r="E14" s="167">
        <f>SUMIFS(MOVIMENTACOES!F:F,MOVIMENTACOES!C:C,A14,MOVIMENTACOES!E:E,"Entrada")</f>
        <v>43</v>
      </c>
      <c r="F14" s="167">
        <f>SUMIFS(MOVIMENTACOES!F:F,MOVIMENTACOES!C:C,A14,MOVIMENTACOES!E:E,"Saída")</f>
        <v>40</v>
      </c>
      <c r="G14" s="168">
        <f t="shared" si="1"/>
        <v>3</v>
      </c>
      <c r="H14" s="169" t="str">
        <f t="shared" si="2"/>
        <v>Atenção</v>
      </c>
      <c r="I14" s="170" t="str">
        <f>VLOOKUP(A14, PRODUTOS!A:H, 3, FALSE)</f>
        <v>SIGBP</v>
      </c>
    </row>
    <row r="15" ht="20.25" customHeight="1">
      <c r="A15" s="104">
        <v>2.00060665E8</v>
      </c>
      <c r="B15" s="20" t="str">
        <f>VLOOKUP(A15,produto,2,0)</f>
        <v>CORRETIVO LIQUIDO DE 18ML</v>
      </c>
      <c r="C15" s="8" t="str">
        <f>IFERROR(VLOOKUP(A15,PRODUTOS!A:E,5,FALSE), "Categoria não encontrada")</f>
        <v>EXPEDIENTE</v>
      </c>
      <c r="D15" s="166" t="str">
        <f>IFERROR(VLOOKUP(A15,PRODUTOS!A:E,4,FALSE), "Categoria não encontrada")</f>
        <v>UN</v>
      </c>
      <c r="E15" s="167">
        <f>SUMIFS(MOVIMENTACOES!F:F,MOVIMENTACOES!C:C,A15,MOVIMENTACOES!E:E,"Entrada")</f>
        <v>3</v>
      </c>
      <c r="F15" s="167">
        <f>SUMIFS(MOVIMENTACOES!F:F,MOVIMENTACOES!C:C,A15,MOVIMENTACOES!E:E,"Saída")</f>
        <v>1</v>
      </c>
      <c r="G15" s="168">
        <f t="shared" si="1"/>
        <v>2</v>
      </c>
      <c r="H15" s="169" t="str">
        <f t="shared" si="2"/>
        <v>Atenção</v>
      </c>
      <c r="I15" s="170" t="str">
        <f>VLOOKUP(A15, PRODUTOS!A:H, 3, FALSE)</f>
        <v>SIGBP</v>
      </c>
    </row>
    <row r="16" ht="20.25" customHeight="1">
      <c r="A16" s="171">
        <v>2.00048673E8</v>
      </c>
      <c r="B16" s="20" t="str">
        <f>VLOOKUP(A16,produto,2,0)</f>
        <v>ESTILETE PLASTICO ESTREITO DE 9MM</v>
      </c>
      <c r="C16" s="8" t="str">
        <f>IFERROR(VLOOKUP(A16,PRODUTOS!A:E,5,FALSE), "Categoria não encontrada")</f>
        <v>EXPEDIENTE</v>
      </c>
      <c r="D16" s="166" t="str">
        <f>IFERROR(VLOOKUP(A16,PRODUTOS!A:E,4,FALSE), "Categoria não encontrada")</f>
        <v>PCT</v>
      </c>
      <c r="E16" s="167">
        <f>SUMIFS(MOVIMENTACOES!F:F,MOVIMENTACOES!C:C,A16,MOVIMENTACOES!E:E,"Entrada")</f>
        <v>7</v>
      </c>
      <c r="F16" s="167">
        <f>SUMIFS(MOVIMENTACOES!F:F,MOVIMENTACOES!C:C,A16,MOVIMENTACOES!E:E,"Saída")</f>
        <v>6</v>
      </c>
      <c r="G16" s="168">
        <f t="shared" si="1"/>
        <v>1</v>
      </c>
      <c r="H16" s="169" t="str">
        <f t="shared" si="2"/>
        <v>Atenção</v>
      </c>
      <c r="I16" s="170" t="str">
        <f>VLOOKUP(A16, PRODUTOS!A:H, 3, FALSE)</f>
        <v>SIGBP</v>
      </c>
    </row>
    <row r="17" ht="20.25" customHeight="1">
      <c r="A17" s="104">
        <v>2.00043598E8</v>
      </c>
      <c r="B17" s="20" t="str">
        <f>VLOOKUP(A17,produto,2,0)</f>
        <v>LAMINA PARA ESTILETE ESTREITO DE 13CM</v>
      </c>
      <c r="C17" s="8" t="str">
        <f>IFERROR(VLOOKUP(A17,PRODUTOS!A:E,5,FALSE), "Categoria não encontrada")</f>
        <v>EXPEDIENTE</v>
      </c>
      <c r="D17" s="166" t="str">
        <f>IFERROR(VLOOKUP(A17,PRODUTOS!A:E,4,FALSE), "Categoria não encontrada")</f>
        <v>CX</v>
      </c>
      <c r="E17" s="167">
        <f>SUMIFS(MOVIMENTACOES!F:F,MOVIMENTACOES!C:C,A17,MOVIMENTACOES!E:E,"Entrada")</f>
        <v>3</v>
      </c>
      <c r="F17" s="167">
        <f>SUMIFS(MOVIMENTACOES!F:F,MOVIMENTACOES!C:C,A17,MOVIMENTACOES!E:E,"Saída")</f>
        <v>0</v>
      </c>
      <c r="G17" s="168">
        <f t="shared" si="1"/>
        <v>3</v>
      </c>
      <c r="H17" s="169" t="str">
        <f t="shared" si="2"/>
        <v>Atenção</v>
      </c>
      <c r="I17" s="170" t="str">
        <f>VLOOKUP(A17, PRODUTOS!A:H, 3, FALSE)</f>
        <v>SIGBP</v>
      </c>
    </row>
    <row r="18" ht="20.25" customHeight="1">
      <c r="A18" s="36">
        <v>2.00066972E8</v>
      </c>
      <c r="B18" s="20" t="str">
        <f>VLOOKUP(A18,produto,2,0)</f>
        <v>PASTA SANFONADA</v>
      </c>
      <c r="C18" s="8" t="str">
        <f>IFERROR(VLOOKUP(A18,PRODUTOS!A:E,5,FALSE), "Categoria não encontrada")</f>
        <v>EXPEDIENTE</v>
      </c>
      <c r="D18" s="166" t="str">
        <f>IFERROR(VLOOKUP(A18,PRODUTOS!A:E,4,FALSE), "Categoria não encontrada")</f>
        <v>UN</v>
      </c>
      <c r="E18" s="166">
        <f>SUMIFS(MOVIMENTACOES!F:F,MOVIMENTACOES!C:C,A18,MOVIMENTACOES!E:E,"Entrada")</f>
        <v>3</v>
      </c>
      <c r="F18" s="166">
        <f>SUMIFS(MOVIMENTACOES!F:F,MOVIMENTACOES!C:C,A18,MOVIMENTACOES!E:E,"Saída")</f>
        <v>2</v>
      </c>
      <c r="G18" s="168">
        <f t="shared" si="1"/>
        <v>1</v>
      </c>
      <c r="H18" s="169" t="str">
        <f t="shared" si="2"/>
        <v>Atenção</v>
      </c>
      <c r="I18" s="170" t="str">
        <f>VLOOKUP(A18, PRODUTOS!A:H, 3, FALSE)</f>
        <v>SIGBP</v>
      </c>
    </row>
    <row r="19" ht="20.25" customHeight="1">
      <c r="A19" s="104">
        <v>2.00001052E8</v>
      </c>
      <c r="B19" s="20" t="str">
        <f>VLOOKUP(A19,produto,2,0)</f>
        <v>REGUA CRISTAL 50 CM</v>
      </c>
      <c r="C19" s="8" t="str">
        <f>IFERROR(VLOOKUP(A19,PRODUTOS!A:E,5,FALSE), "Categoria não encontrada")</f>
        <v>EXPEDIENTE</v>
      </c>
      <c r="D19" s="166" t="str">
        <f>IFERROR(VLOOKUP(A19,PRODUTOS!A:E,4,FALSE), "Categoria não encontrada")</f>
        <v>PCT</v>
      </c>
      <c r="E19" s="167">
        <f>SUMIFS(MOVIMENTACOES!F:F,MOVIMENTACOES!C:C,A19,MOVIMENTACOES!E:E,"Entrada")</f>
        <v>2</v>
      </c>
      <c r="F19" s="167">
        <f>SUMIFS(MOVIMENTACOES!F:F,MOVIMENTACOES!C:C,A19,MOVIMENTACOES!E:E,"Saída")</f>
        <v>1</v>
      </c>
      <c r="G19" s="168">
        <f t="shared" si="1"/>
        <v>1</v>
      </c>
      <c r="H19" s="169" t="str">
        <f t="shared" si="2"/>
        <v>Atenção</v>
      </c>
      <c r="I19" s="170" t="str">
        <f>VLOOKUP(A19, PRODUTOS!A:H, 3, FALSE)</f>
        <v>SIGBP</v>
      </c>
    </row>
    <row r="20" ht="20.25" customHeight="1">
      <c r="A20" s="104">
        <v>2.00036577E8</v>
      </c>
      <c r="B20" s="20" t="str">
        <f>VLOOKUP(A20,produto,2,0)</f>
        <v>GRAMPEADOR</v>
      </c>
      <c r="C20" s="8" t="str">
        <f>IFERROR(VLOOKUP(A20,PRODUTOS!A:E,5,FALSE), "Categoria não encontrada")</f>
        <v>EXPEDIENTE</v>
      </c>
      <c r="D20" s="166" t="str">
        <f>IFERROR(VLOOKUP(A20,PRODUTOS!A:E,4,FALSE), "Categoria não encontrada")</f>
        <v>UN</v>
      </c>
      <c r="E20" s="167">
        <f>SUMIFS(MOVIMENTACOES!F:F,MOVIMENTACOES!C:C,A20,MOVIMENTACOES!E:E,"Entrada")</f>
        <v>4</v>
      </c>
      <c r="F20" s="167">
        <f>SUMIFS(MOVIMENTACOES!F:F,MOVIMENTACOES!C:C,A20,MOVIMENTACOES!E:E,"Saída")</f>
        <v>2</v>
      </c>
      <c r="G20" s="168">
        <f t="shared" si="1"/>
        <v>2</v>
      </c>
      <c r="H20" s="169" t="str">
        <f t="shared" si="2"/>
        <v>Atenção</v>
      </c>
      <c r="I20" s="170" t="str">
        <f>VLOOKUP(A20, PRODUTOS!A:H, 3, FALSE)</f>
        <v>SIGBP</v>
      </c>
    </row>
    <row r="21" ht="20.25" customHeight="1">
      <c r="A21" s="171">
        <v>2.00062843E8</v>
      </c>
      <c r="B21" s="20" t="str">
        <f>VLOOKUP(A21,produto,2,0)</f>
        <v>PILHA ALCALINA PALITO - AAA - LR03 04UN</v>
      </c>
      <c r="C21" s="8" t="str">
        <f>IFERROR(VLOOKUP(A21,PRODUTOS!A:E,5,FALSE), "Categoria não encontrada")</f>
        <v>EXPEDIENTE</v>
      </c>
      <c r="D21" s="166" t="str">
        <f>IFERROR(VLOOKUP(A21,PRODUTOS!A:E,4,FALSE), "Categoria não encontrada")</f>
        <v>PCT</v>
      </c>
      <c r="E21" s="167">
        <f>SUMIFS(MOVIMENTACOES!F:F,MOVIMENTACOES!C:C,A21,MOVIMENTACOES!E:E,"Entrada")</f>
        <v>8</v>
      </c>
      <c r="F21" s="167">
        <f>SUMIFS(MOVIMENTACOES!F:F,MOVIMENTACOES!C:C,A21,MOVIMENTACOES!E:E,"Saída")</f>
        <v>5</v>
      </c>
      <c r="G21" s="168">
        <f t="shared" si="1"/>
        <v>3</v>
      </c>
      <c r="H21" s="169" t="str">
        <f t="shared" si="2"/>
        <v>Atenção</v>
      </c>
      <c r="I21" s="170" t="str">
        <f>VLOOKUP(A21, PRODUTOS!A:H, 3, FALSE)</f>
        <v>SIGBP</v>
      </c>
    </row>
    <row r="22" ht="20.25" customHeight="1">
      <c r="A22" s="104">
        <v>2.00038199E8</v>
      </c>
      <c r="B22" s="20" t="str">
        <f>VLOOKUP(A22,produto,2,0)</f>
        <v>CANETA MARCADOR PERMANENTE PONTA GROSSA PRETO</v>
      </c>
      <c r="C22" s="8" t="str">
        <f>IFERROR(VLOOKUP(A22,PRODUTOS!A:E,5,FALSE), "Categoria não encontrada")</f>
        <v>EXPEDIENTE</v>
      </c>
      <c r="D22" s="166" t="str">
        <f>IFERROR(VLOOKUP(A22,PRODUTOS!A:E,4,FALSE), "Categoria não encontrada")</f>
        <v>UN</v>
      </c>
      <c r="E22" s="167">
        <f>SUMIFS(MOVIMENTACOES!F:F,MOVIMENTACOES!C:C,A22,MOVIMENTACOES!E:E,"Entrada")</f>
        <v>1</v>
      </c>
      <c r="F22" s="167">
        <f>SUMIFS(MOVIMENTACOES!F:F,MOVIMENTACOES!C:C,A22,MOVIMENTACOES!E:E,"Saída")</f>
        <v>0</v>
      </c>
      <c r="G22" s="168">
        <f t="shared" si="1"/>
        <v>1</v>
      </c>
      <c r="H22" s="169" t="str">
        <f t="shared" si="2"/>
        <v>Atenção</v>
      </c>
      <c r="I22" s="170" t="str">
        <f>VLOOKUP(A22, PRODUTOS!A:H, 3, FALSE)</f>
        <v>SIGBP</v>
      </c>
    </row>
    <row r="23" ht="20.25" customHeight="1">
      <c r="A23" s="104">
        <v>2.0003649E8</v>
      </c>
      <c r="B23" s="20" t="str">
        <f>VLOOKUP(A23,produto,2,0)</f>
        <v>CLIPS NIQUELADO Nº 2 COM 100 UN</v>
      </c>
      <c r="C23" s="8" t="str">
        <f>IFERROR(VLOOKUP(A23,PRODUTOS!A:E,5,FALSE), "Categoria não encontrada")</f>
        <v>EXPEDIENTE</v>
      </c>
      <c r="D23" s="166" t="str">
        <f>IFERROR(VLOOKUP(A23,PRODUTOS!A:E,4,FALSE), "Categoria não encontrada")</f>
        <v>CX</v>
      </c>
      <c r="E23" s="167">
        <f>SUMIFS(MOVIMENTACOES!F:F,MOVIMENTACOES!C:C,A23,MOVIMENTACOES!E:E,"Entrada")</f>
        <v>11</v>
      </c>
      <c r="F23" s="167">
        <f>SUMIFS(MOVIMENTACOES!F:F,MOVIMENTACOES!C:C,A23,MOVIMENTACOES!E:E,"Saída")</f>
        <v>9</v>
      </c>
      <c r="G23" s="168">
        <f t="shared" si="1"/>
        <v>2</v>
      </c>
      <c r="H23" s="169" t="str">
        <f t="shared" si="2"/>
        <v>Atenção</v>
      </c>
      <c r="I23" s="170" t="str">
        <f>VLOOKUP(A23, PRODUTOS!A:H, 3, FALSE)</f>
        <v>SIGBP</v>
      </c>
    </row>
    <row r="24" ht="20.25" customHeight="1">
      <c r="A24" s="171">
        <v>2.00037413E8</v>
      </c>
      <c r="B24" s="20" t="str">
        <f>VLOOKUP(A24,produto,2,0)</f>
        <v>CLIPS NIQUELADO Nº 3 COM 50 UN</v>
      </c>
      <c r="C24" s="8" t="str">
        <f>IFERROR(VLOOKUP(A24,PRODUTOS!A:E,5,FALSE), "Categoria não encontrada")</f>
        <v>EXPEDIENTE</v>
      </c>
      <c r="D24" s="166" t="str">
        <f>IFERROR(VLOOKUP(A24,PRODUTOS!A:E,4,FALSE), "Categoria não encontrada")</f>
        <v>CX</v>
      </c>
      <c r="E24" s="167">
        <f>SUMIFS(MOVIMENTACOES!F:F,MOVIMENTACOES!C:C,A24,MOVIMENTACOES!E:E,"Entrada")</f>
        <v>12</v>
      </c>
      <c r="F24" s="167">
        <f>SUMIFS(MOVIMENTACOES!F:F,MOVIMENTACOES!C:C,A24,MOVIMENTACOES!E:E,"Saída")</f>
        <v>9</v>
      </c>
      <c r="G24" s="168">
        <f t="shared" si="1"/>
        <v>3</v>
      </c>
      <c r="H24" s="169" t="str">
        <f t="shared" si="2"/>
        <v>Atenção</v>
      </c>
      <c r="I24" s="170" t="str">
        <f>VLOOKUP(A24, PRODUTOS!A:H, 3, FALSE)</f>
        <v>SIGBP</v>
      </c>
    </row>
    <row r="25" ht="20.25" customHeight="1">
      <c r="A25" s="171">
        <v>2.00039379E8</v>
      </c>
      <c r="B25" s="20" t="str">
        <f>VLOOKUP(A25,produto,2,0)</f>
        <v>CLIPS NIQUELADO Nº 8 COM 25 UN</v>
      </c>
      <c r="C25" s="8" t="str">
        <f>IFERROR(VLOOKUP(A25,PRODUTOS!A:E,5,FALSE), "Categoria não encontrada")</f>
        <v>EXPEDIENTE</v>
      </c>
      <c r="D25" s="166" t="str">
        <f>IFERROR(VLOOKUP(A25,PRODUTOS!A:E,4,FALSE), "Categoria não encontrada")</f>
        <v>CX</v>
      </c>
      <c r="E25" s="166">
        <f>SUMIFS(MOVIMENTACOES!F:F,MOVIMENTACOES!C:C,A25,MOVIMENTACOES!E:E,"Entrada")</f>
        <v>3</v>
      </c>
      <c r="F25" s="166">
        <f>SUMIFS(MOVIMENTACOES!F:F,MOVIMENTACOES!C:C,A25,MOVIMENTACOES!E:E,"Saída")</f>
        <v>0</v>
      </c>
      <c r="G25" s="168">
        <f t="shared" si="1"/>
        <v>3</v>
      </c>
      <c r="H25" s="169" t="str">
        <f t="shared" si="2"/>
        <v>Atenção</v>
      </c>
      <c r="I25" s="170" t="str">
        <f>VLOOKUP(A25, PRODUTOS!A:H, 3, FALSE)</f>
        <v>SIGBP</v>
      </c>
    </row>
    <row r="26" ht="20.25" customHeight="1">
      <c r="A26" s="104">
        <v>2.00056391E8</v>
      </c>
      <c r="B26" s="20" t="str">
        <f>VLOOKUP(A26,produto,2,0)</f>
        <v>FITA CREPE DE 48X50MM</v>
      </c>
      <c r="C26" s="8" t="str">
        <f>IFERROR(VLOOKUP(A26,PRODUTOS!A:E,5,FALSE), "Categoria não encontrada")</f>
        <v>EXPEDIENTE</v>
      </c>
      <c r="D26" s="166" t="str">
        <f>IFERROR(VLOOKUP(A26,PRODUTOS!A:E,4,FALSE), "Categoria não encontrada")</f>
        <v>UN</v>
      </c>
      <c r="E26" s="167">
        <f>SUMIFS(MOVIMENTACOES!F:F,MOVIMENTACOES!C:C,A26,MOVIMENTACOES!E:E,"Entrada")</f>
        <v>5</v>
      </c>
      <c r="F26" s="167">
        <f>SUMIFS(MOVIMENTACOES!F:F,MOVIMENTACOES!C:C,A26,MOVIMENTACOES!E:E,"Saída")</f>
        <v>3</v>
      </c>
      <c r="G26" s="168">
        <f t="shared" si="1"/>
        <v>2</v>
      </c>
      <c r="H26" s="169" t="str">
        <f t="shared" si="2"/>
        <v>Atenção</v>
      </c>
      <c r="I26" s="170" t="str">
        <f>VLOOKUP(A26, PRODUTOS!A:H, 3, FALSE)</f>
        <v>SIGBP</v>
      </c>
    </row>
    <row r="27" ht="20.25" customHeight="1">
      <c r="A27" s="171">
        <v>2.00000408E8</v>
      </c>
      <c r="B27" s="20" t="str">
        <f>VLOOKUP(A27,produto,2,0)</f>
        <v>LENÇOL DESCARTAVEL 50 x 70 mm</v>
      </c>
      <c r="C27" s="8" t="str">
        <f>IFERROR(VLOOKUP(A27,PRODUTOS!A:E,5,FALSE), "Categoria não encontrada")</f>
        <v>LIMPEZA</v>
      </c>
      <c r="D27" s="166" t="str">
        <f>IFERROR(VLOOKUP(A27,PRODUTOS!A:E,4,FALSE), "Categoria não encontrada")</f>
        <v>UN</v>
      </c>
      <c r="E27" s="166">
        <f>SUMIFS(MOVIMENTACOES!F:F,MOVIMENTACOES!C:C,A27,MOVIMENTACOES!E:E,"Entrada")</f>
        <v>2</v>
      </c>
      <c r="F27" s="166">
        <f>SUMIFS(MOVIMENTACOES!F:F,MOVIMENTACOES!C:C,A27,MOVIMENTACOES!E:E,"Saída")</f>
        <v>1</v>
      </c>
      <c r="G27" s="168">
        <f t="shared" si="1"/>
        <v>1</v>
      </c>
      <c r="H27" s="169" t="str">
        <f t="shared" si="2"/>
        <v>Atenção</v>
      </c>
      <c r="I27" s="170" t="str">
        <f>VLOOKUP(A27, PRODUTOS!A:H, 3, FALSE)</f>
        <v>SIGBP</v>
      </c>
    </row>
    <row r="28" ht="20.25" customHeight="1">
      <c r="A28" s="104" t="s">
        <v>185</v>
      </c>
      <c r="B28" s="20" t="str">
        <f>VLOOKUP(A28,produto,2,0)</f>
        <v>Papel Toalha Interfolhado</v>
      </c>
      <c r="C28" s="8" t="str">
        <f>IFERROR(VLOOKUP(A28,PRODUTOS!A:E,5,FALSE), "Categoria não encontrada")</f>
        <v>LIMPEZA</v>
      </c>
      <c r="D28" s="166" t="str">
        <f>IFERROR(VLOOKUP(A28,PRODUTOS!A:E,4,FALSE), "Categoria não encontrada")</f>
        <v>RL</v>
      </c>
      <c r="E28" s="167">
        <f>SUMIFS(MOVIMENTACOES!F:F,MOVIMENTACOES!C:C,A28,MOVIMENTACOES!E:E,"Entrada")</f>
        <v>3</v>
      </c>
      <c r="F28" s="167">
        <f>SUMIFS(MOVIMENTACOES!F:F,MOVIMENTACOES!C:C,A28,MOVIMENTACOES!E:E,"Saída")</f>
        <v>0</v>
      </c>
      <c r="G28" s="168">
        <f t="shared" si="1"/>
        <v>3</v>
      </c>
      <c r="H28" s="169" t="str">
        <f t="shared" si="2"/>
        <v>Atenção</v>
      </c>
      <c r="I28" s="170" t="str">
        <f>VLOOKUP(A28, PRODUTOS!A:H, 3, FALSE)</f>
        <v>SIGBP</v>
      </c>
    </row>
    <row r="29" ht="20.25" customHeight="1">
      <c r="A29" s="104">
        <v>2.00070056E8</v>
      </c>
      <c r="B29" s="20" t="str">
        <f>VLOOKUP(A29,produto,2,0)</f>
        <v>PAPEL TOALHADE ROLHO</v>
      </c>
      <c r="C29" s="8" t="str">
        <f>IFERROR(VLOOKUP(A29,PRODUTOS!A:E,5,FALSE), "Categoria não encontrada")</f>
        <v>LIMPEZA</v>
      </c>
      <c r="D29" s="166" t="str">
        <f>IFERROR(VLOOKUP(A29,PRODUTOS!A:E,4,FALSE), "Categoria não encontrada")</f>
        <v>UN</v>
      </c>
      <c r="E29" s="167">
        <f>SUMIFS(MOVIMENTACOES!F:F,MOVIMENTACOES!C:C,A29,MOVIMENTACOES!E:E,"Entrada")</f>
        <v>1</v>
      </c>
      <c r="F29" s="167">
        <f>SUMIFS(MOVIMENTACOES!F:F,MOVIMENTACOES!C:C,A29,MOVIMENTACOES!E:E,"Saída")</f>
        <v>0</v>
      </c>
      <c r="G29" s="168">
        <f t="shared" si="1"/>
        <v>1</v>
      </c>
      <c r="H29" s="169" t="str">
        <f t="shared" si="2"/>
        <v>Atenção</v>
      </c>
      <c r="I29" s="170" t="str">
        <f>VLOOKUP(A29, PRODUTOS!A:H, 3, FALSE)</f>
        <v>SIGBP</v>
      </c>
    </row>
    <row r="30" ht="20.25" customHeight="1">
      <c r="A30" s="104">
        <v>2.00061213E8</v>
      </c>
      <c r="B30" s="20" t="str">
        <f>VLOOKUP(A30,produto,2,0)</f>
        <v>SABONETE LIQUIDO CONCENTRADO 1L</v>
      </c>
      <c r="C30" s="8" t="str">
        <f>IFERROR(VLOOKUP(A30,PRODUTOS!A:E,5,FALSE), "Categoria não encontrada")</f>
        <v>LIMPEZA</v>
      </c>
      <c r="D30" s="166" t="str">
        <f>IFERROR(VLOOKUP(A30,PRODUTOS!A:E,4,FALSE), "Categoria não encontrada")</f>
        <v>UN</v>
      </c>
      <c r="E30" s="167">
        <f>SUMIFS(MOVIMENTACOES!F:F,MOVIMENTACOES!C:C,A30,MOVIMENTACOES!E:E,"Entrada")</f>
        <v>1</v>
      </c>
      <c r="F30" s="167">
        <f>SUMIFS(MOVIMENTACOES!F:F,MOVIMENTACOES!C:C,A30,MOVIMENTACOES!E:E,"Saída")</f>
        <v>0</v>
      </c>
      <c r="G30" s="168">
        <f t="shared" si="1"/>
        <v>1</v>
      </c>
      <c r="H30" s="169" t="str">
        <f t="shared" si="2"/>
        <v>Atenção</v>
      </c>
      <c r="I30" s="170" t="str">
        <f>VLOOKUP(A30, PRODUTOS!A:H, 3, FALSE)</f>
        <v>SIGBP</v>
      </c>
    </row>
    <row r="31" ht="20.25" customHeight="1">
      <c r="A31" s="36">
        <v>2.00000054E8</v>
      </c>
      <c r="B31" s="20" t="str">
        <f>VLOOKUP(A31,produto,2,0)</f>
        <v>FITA DE BORDA 1,5 x 2,5 x 1mm</v>
      </c>
      <c r="C31" s="8" t="str">
        <f>IFERROR(VLOOKUP(A31,PRODUTOS!A:E,5,FALSE), "Categoria não encontrada")</f>
        <v>MATERIAL T.O</v>
      </c>
      <c r="D31" s="166" t="str">
        <f>IFERROR(VLOOKUP(A31,PRODUTOS!A:E,4,FALSE), "Categoria não encontrada")</f>
        <v>UN</v>
      </c>
      <c r="E31" s="166">
        <f>SUMIFS(MOVIMENTACOES!F:F,MOVIMENTACOES!C:C,A31,MOVIMENTACOES!E:E,"Entrada")</f>
        <v>5</v>
      </c>
      <c r="F31" s="166">
        <f>SUMIFS(MOVIMENTACOES!F:F,MOVIMENTACOES!C:C,A31,MOVIMENTACOES!E:E,"Saída")</f>
        <v>3</v>
      </c>
      <c r="G31" s="168">
        <f t="shared" si="1"/>
        <v>2</v>
      </c>
      <c r="H31" s="169" t="str">
        <f t="shared" si="2"/>
        <v>Atenção</v>
      </c>
      <c r="I31" s="170" t="str">
        <f>VLOOKUP(A31, PRODUTOS!A:H, 3, FALSE)</f>
        <v>ARTICULATO</v>
      </c>
    </row>
    <row r="32" ht="20.25" customHeight="1">
      <c r="A32" s="36">
        <v>2.00000055E8</v>
      </c>
      <c r="B32" s="20" t="str">
        <f>VLOOKUP(A32,produto,2,0)</f>
        <v>PEÇA / MATERIAL PARA ORTESES tipo FORRAÇÃO AUTO-ADESIVA ESP</v>
      </c>
      <c r="C32" s="8" t="str">
        <f>IFERROR(VLOOKUP(A32,PRODUTOS!A:E,5,FALSE), "Categoria não encontrada")</f>
        <v>MATERIAL T.O</v>
      </c>
      <c r="D32" s="166" t="str">
        <f>IFERROR(VLOOKUP(A32,PRODUTOS!A:E,4,FALSE), "Categoria não encontrada")</f>
        <v>UN</v>
      </c>
      <c r="E32" s="166">
        <f>SUMIFS(MOVIMENTACOES!F:F,MOVIMENTACOES!C:C,A32,MOVIMENTACOES!E:E,"Entrada")</f>
        <v>3</v>
      </c>
      <c r="F32" s="166">
        <f>SUMIFS(MOVIMENTACOES!F:F,MOVIMENTACOES!C:C,A32,MOVIMENTACOES!E:E,"Saída")</f>
        <v>1</v>
      </c>
      <c r="G32" s="168">
        <f t="shared" si="1"/>
        <v>2</v>
      </c>
      <c r="H32" s="169" t="str">
        <f t="shared" si="2"/>
        <v>Atenção</v>
      </c>
      <c r="I32" s="170" t="str">
        <f>VLOOKUP(A32, PRODUTOS!A:H, 3, FALSE)</f>
        <v>ARTICULATO</v>
      </c>
    </row>
    <row r="33" ht="20.25" customHeight="1">
      <c r="A33" s="36">
        <v>2.0000006E8</v>
      </c>
      <c r="B33" s="20" t="str">
        <f>VLOOKUP(A33,produto,2,0)</f>
        <v>VELCRO FEMEA 50mm VERMELHO</v>
      </c>
      <c r="C33" s="8" t="str">
        <f>IFERROR(VLOOKUP(A33,PRODUTOS!A:E,5,FALSE), "Categoria não encontrada")</f>
        <v>MATERIAL T.O</v>
      </c>
      <c r="D33" s="166" t="str">
        <f>IFERROR(VLOOKUP(A33,PRODUTOS!A:E,4,FALSE), "Categoria não encontrada")</f>
        <v>UN</v>
      </c>
      <c r="E33" s="166">
        <f>SUMIFS(MOVIMENTACOES!F:F,MOVIMENTACOES!C:C,A33,MOVIMENTACOES!E:E,"Entrada")</f>
        <v>1</v>
      </c>
      <c r="F33" s="166">
        <f>SUMIFS(MOVIMENTACOES!F:F,MOVIMENTACOES!C:C,A33,MOVIMENTACOES!E:E,"Saída")</f>
        <v>0</v>
      </c>
      <c r="G33" s="168">
        <f t="shared" si="1"/>
        <v>1</v>
      </c>
      <c r="H33" s="169" t="str">
        <f t="shared" si="2"/>
        <v>Atenção</v>
      </c>
      <c r="I33" s="170" t="str">
        <f>VLOOKUP(A33, PRODUTOS!A:H, 3, FALSE)</f>
        <v>ARTICULATO</v>
      </c>
    </row>
    <row r="34" ht="20.25" customHeight="1">
      <c r="A34" s="36">
        <v>2.00000057E8</v>
      </c>
      <c r="B34" s="20" t="str">
        <f>VLOOKUP(A34,produto,2,0)</f>
        <v>VELCRO FEMEA 50mm AZUL MARINHO V182</v>
      </c>
      <c r="C34" s="8" t="str">
        <f>IFERROR(VLOOKUP(A34,PRODUTOS!A:E,5,FALSE), "Categoria não encontrada")</f>
        <v>MATERIAL T.O</v>
      </c>
      <c r="D34" s="166" t="str">
        <f>IFERROR(VLOOKUP(A34,PRODUTOS!A:E,4,FALSE), "Categoria não encontrada")</f>
        <v>UN</v>
      </c>
      <c r="E34" s="166">
        <f>SUMIFS(MOVIMENTACOES!F:F,MOVIMENTACOES!C:C,A34,MOVIMENTACOES!E:E,"Entrada")</f>
        <v>2</v>
      </c>
      <c r="F34" s="166">
        <f>SUMIFS(MOVIMENTACOES!F:F,MOVIMENTACOES!C:C,A34,MOVIMENTACOES!E:E,"Saída")</f>
        <v>1</v>
      </c>
      <c r="G34" s="168">
        <f t="shared" si="1"/>
        <v>1</v>
      </c>
      <c r="H34" s="169" t="str">
        <f t="shared" si="2"/>
        <v>Atenção</v>
      </c>
      <c r="I34" s="170" t="str">
        <f>VLOOKUP(A34, PRODUTOS!A:H, 3, FALSE)</f>
        <v>ARTICULATO</v>
      </c>
    </row>
    <row r="35" ht="20.25" customHeight="1">
      <c r="A35" s="36">
        <v>2.00000058E8</v>
      </c>
      <c r="B35" s="20" t="str">
        <f>VLOOKUP(A35,produto,2,0)</f>
        <v>VELCRO FEMEA 50mm Verde Escuro</v>
      </c>
      <c r="C35" s="8" t="str">
        <f>IFERROR(VLOOKUP(A35,PRODUTOS!A:E,5,FALSE), "Categoria não encontrada")</f>
        <v>MATERIAL T.O</v>
      </c>
      <c r="D35" s="166" t="str">
        <f>IFERROR(VLOOKUP(A35,PRODUTOS!A:E,4,FALSE), "Categoria não encontrada")</f>
        <v>UN</v>
      </c>
      <c r="E35" s="166">
        <f>SUMIFS(MOVIMENTACOES!F:F,MOVIMENTACOES!C:C,A35,MOVIMENTACOES!E:E,"Entrada")</f>
        <v>2</v>
      </c>
      <c r="F35" s="166">
        <f>SUMIFS(MOVIMENTACOES!F:F,MOVIMENTACOES!C:C,A35,MOVIMENTACOES!E:E,"Saída")</f>
        <v>1</v>
      </c>
      <c r="G35" s="168">
        <f t="shared" si="1"/>
        <v>1</v>
      </c>
      <c r="H35" s="169" t="str">
        <f t="shared" si="2"/>
        <v>Atenção</v>
      </c>
      <c r="I35" s="170" t="str">
        <f>VLOOKUP(A35, PRODUTOS!A:H, 3, FALSE)</f>
        <v>ARTICULATO</v>
      </c>
    </row>
    <row r="36" ht="20.25" customHeight="1">
      <c r="A36" s="36">
        <v>2.00000064E8</v>
      </c>
      <c r="B36" s="20" t="str">
        <f>VLOOKUP(A36,produto,2,0)</f>
        <v>VELCRO FEMEA 50mm BEGE</v>
      </c>
      <c r="C36" s="8" t="str">
        <f>IFERROR(VLOOKUP(A36,PRODUTOS!A:E,5,FALSE), "Categoria não encontrada")</f>
        <v>MATERIAL T.O</v>
      </c>
      <c r="D36" s="166" t="str">
        <f>IFERROR(VLOOKUP(A36,PRODUTOS!A:E,4,FALSE), "Categoria não encontrada")</f>
        <v>UN</v>
      </c>
      <c r="E36" s="166">
        <f>SUMIFS(MOVIMENTACOES!F:F,MOVIMENTACOES!C:C,A36,MOVIMENTACOES!E:E,"Entrada")</f>
        <v>2</v>
      </c>
      <c r="F36" s="166">
        <f>SUMIFS(MOVIMENTACOES!F:F,MOVIMENTACOES!C:C,A36,MOVIMENTACOES!E:E,"Saída")</f>
        <v>1</v>
      </c>
      <c r="G36" s="168">
        <f t="shared" si="1"/>
        <v>1</v>
      </c>
      <c r="H36" s="169" t="str">
        <f t="shared" si="2"/>
        <v>Atenção</v>
      </c>
      <c r="I36" s="170" t="str">
        <f>VLOOKUP(A36, PRODUTOS!A:H, 3, FALSE)</f>
        <v>ARTICULATO</v>
      </c>
    </row>
    <row r="37" ht="20.25" customHeight="1">
      <c r="A37" s="36">
        <v>2.00000062E8</v>
      </c>
      <c r="B37" s="20" t="str">
        <f>VLOOKUP(A37,produto,2,0)</f>
        <v>VELCRO FEMEA 50mm LARANJA V627</v>
      </c>
      <c r="C37" s="8" t="str">
        <f>IFERROR(VLOOKUP(A37,PRODUTOS!A:E,5,FALSE), "Categoria não encontrada")</f>
        <v>MATERIAL T.O</v>
      </c>
      <c r="D37" s="166" t="str">
        <f>IFERROR(VLOOKUP(A37,PRODUTOS!A:E,4,FALSE), "Categoria não encontrada")</f>
        <v>UN</v>
      </c>
      <c r="E37" s="166">
        <f>SUMIFS(MOVIMENTACOES!F:F,MOVIMENTACOES!C:C,A37,MOVIMENTACOES!E:E,"Entrada")</f>
        <v>2</v>
      </c>
      <c r="F37" s="166">
        <f>SUMIFS(MOVIMENTACOES!F:F,MOVIMENTACOES!C:C,A37,MOVIMENTACOES!E:E,"Saída")</f>
        <v>0</v>
      </c>
      <c r="G37" s="168">
        <f t="shared" si="1"/>
        <v>2</v>
      </c>
      <c r="H37" s="169" t="str">
        <f t="shared" si="2"/>
        <v>Atenção</v>
      </c>
      <c r="I37" s="170" t="str">
        <f>VLOOKUP(A37, PRODUTOS!A:H, 3, FALSE)</f>
        <v>ARTICULATO</v>
      </c>
    </row>
    <row r="38" ht="20.25" customHeight="1">
      <c r="A38" s="36">
        <v>2.00000059E8</v>
      </c>
      <c r="B38" s="20" t="str">
        <f>VLOOKUP(A38,produto,2,0)</f>
        <v>VELCRO FEMEA 50mm VINHO V328</v>
      </c>
      <c r="C38" s="8" t="str">
        <f>IFERROR(VLOOKUP(A38,PRODUTOS!A:E,5,FALSE), "Categoria não encontrada")</f>
        <v>MATERIAL T.O</v>
      </c>
      <c r="D38" s="166" t="str">
        <f>IFERROR(VLOOKUP(A38,PRODUTOS!A:E,4,FALSE), "Categoria não encontrada")</f>
        <v>UN</v>
      </c>
      <c r="E38" s="166">
        <f>SUMIFS(MOVIMENTACOES!F:F,MOVIMENTACOES!C:C,A38,MOVIMENTACOES!E:E,"Entrada")</f>
        <v>2</v>
      </c>
      <c r="F38" s="166">
        <f>SUMIFS(MOVIMENTACOES!F:F,MOVIMENTACOES!C:C,A38,MOVIMENTACOES!E:E,"Saída")</f>
        <v>1</v>
      </c>
      <c r="G38" s="168">
        <f t="shared" si="1"/>
        <v>1</v>
      </c>
      <c r="H38" s="169" t="str">
        <f t="shared" si="2"/>
        <v>Atenção</v>
      </c>
      <c r="I38" s="170" t="str">
        <f>VLOOKUP(A38, PRODUTOS!A:H, 3, FALSE)</f>
        <v>ARTICULATO</v>
      </c>
    </row>
    <row r="39" ht="20.25" customHeight="1">
      <c r="A39" s="36">
        <v>2.00000061E8</v>
      </c>
      <c r="B39" s="20" t="str">
        <f>VLOOKUP(A39,produto,2,0)</f>
        <v>VELCRO FEMEA 50mm AMARELO</v>
      </c>
      <c r="C39" s="8" t="str">
        <f>IFERROR(VLOOKUP(A39,PRODUTOS!A:E,5,FALSE), "Categoria não encontrada")</f>
        <v>MATERIAL T.O</v>
      </c>
      <c r="D39" s="166" t="str">
        <f>IFERROR(VLOOKUP(A39,PRODUTOS!A:E,4,FALSE), "Categoria não encontrada")</f>
        <v>UN</v>
      </c>
      <c r="E39" s="166">
        <f>SUMIFS(MOVIMENTACOES!F:F,MOVIMENTACOES!C:C,A39,MOVIMENTACOES!E:E,"Entrada")</f>
        <v>1</v>
      </c>
      <c r="F39" s="166">
        <f>SUMIFS(MOVIMENTACOES!F:F,MOVIMENTACOES!C:C,A39,MOVIMENTACOES!E:E,"Saída")</f>
        <v>0</v>
      </c>
      <c r="G39" s="168">
        <f t="shared" si="1"/>
        <v>1</v>
      </c>
      <c r="H39" s="169" t="str">
        <f t="shared" si="2"/>
        <v>Atenção</v>
      </c>
      <c r="I39" s="170" t="str">
        <f>VLOOKUP(A39, PRODUTOS!A:H, 3, FALSE)</f>
        <v>ARTICULATO</v>
      </c>
    </row>
    <row r="40" ht="20.25" customHeight="1">
      <c r="A40" s="104" t="s">
        <v>222</v>
      </c>
      <c r="B40" s="20" t="str">
        <f>VLOOKUP(A40,produto,2,0)</f>
        <v>VELCRO FEMEA  50mm ROSA</v>
      </c>
      <c r="C40" s="8" t="str">
        <f>IFERROR(VLOOKUP(A40,PRODUTOS!A:E,5,FALSE), "Categoria não encontrada")</f>
        <v>MATERIAL T.O</v>
      </c>
      <c r="D40" s="166" t="str">
        <f>IFERROR(VLOOKUP(A40,PRODUTOS!A:E,4,FALSE), "Categoria não encontrada")</f>
        <v>UN</v>
      </c>
      <c r="E40" s="166">
        <f>SUMIFS(MOVIMENTACOES!F:F,MOVIMENTACOES!C:C,A40,MOVIMENTACOES!E:E,"Entrada")</f>
        <v>1</v>
      </c>
      <c r="F40" s="166">
        <f>SUMIFS(MOVIMENTACOES!F:F,MOVIMENTACOES!C:C,A40,MOVIMENTACOES!E:E,"Saída")</f>
        <v>0</v>
      </c>
      <c r="G40" s="168">
        <f t="shared" si="1"/>
        <v>1</v>
      </c>
      <c r="H40" s="169" t="str">
        <f t="shared" si="2"/>
        <v>Atenção</v>
      </c>
      <c r="I40" s="170" t="str">
        <f>VLOOKUP(A40, PRODUTOS!A:H, 3, FALSE)</f>
        <v>SIGBP</v>
      </c>
    </row>
    <row r="41" ht="20.25" customHeight="1">
      <c r="A41" s="36">
        <v>2.0000005E8</v>
      </c>
      <c r="B41" s="20" t="str">
        <f>VLOOKUP(A41,produto,2,0)</f>
        <v>ORFICAST BLUE 300cm x 3cm FITA TERMOPLASTICA</v>
      </c>
      <c r="C41" s="8" t="str">
        <f>IFERROR(VLOOKUP(A41,PRODUTOS!A:E,5,FALSE), "Categoria não encontrada")</f>
        <v>MATERIAL T.O</v>
      </c>
      <c r="D41" s="166" t="str">
        <f>IFERROR(VLOOKUP(A41,PRODUTOS!A:E,4,FALSE), "Categoria não encontrada")</f>
        <v>UN</v>
      </c>
      <c r="E41" s="166">
        <f>SUMIFS(MOVIMENTACOES!F:F,MOVIMENTACOES!C:C,A41,MOVIMENTACOES!E:E,"Entrada")</f>
        <v>4</v>
      </c>
      <c r="F41" s="166">
        <f>SUMIFS(MOVIMENTACOES!F:F,MOVIMENTACOES!C:C,A41,MOVIMENTACOES!E:E,"Saída")</f>
        <v>2</v>
      </c>
      <c r="G41" s="168">
        <f t="shared" si="1"/>
        <v>2</v>
      </c>
      <c r="H41" s="169" t="str">
        <f t="shared" si="2"/>
        <v>Atenção</v>
      </c>
      <c r="I41" s="170" t="str">
        <f>VLOOKUP(A41, PRODUTOS!A:H, 3, FALSE)</f>
        <v>EFECTIV</v>
      </c>
    </row>
    <row r="42" ht="20.25" customHeight="1">
      <c r="A42" s="171">
        <v>2.00000026E8</v>
      </c>
      <c r="B42" s="20" t="str">
        <f>VLOOKUP(A42,produto,2,0)</f>
        <v>PLACA TERMOPLASTICA - ORFIT ECO NATUREL 45 x 60 cm 2.4 mm </v>
      </c>
      <c r="C42" s="8" t="str">
        <f>IFERROR(VLOOKUP(A42,PRODUTOS!A:E,5,FALSE), "Categoria não encontrada")</f>
        <v>MATERIAL T.O</v>
      </c>
      <c r="D42" s="166" t="str">
        <f>IFERROR(VLOOKUP(A42,PRODUTOS!A:E,4,FALSE), "Categoria não encontrada")</f>
        <v>UN</v>
      </c>
      <c r="E42" s="166">
        <f>SUMIFS(MOVIMENTACOES!F:F,MOVIMENTACOES!C:C,A42,MOVIMENTACOES!E:E,"Entrada")</f>
        <v>7</v>
      </c>
      <c r="F42" s="166">
        <f>SUMIFS(MOVIMENTACOES!F:F,MOVIMENTACOES!C:C,A42,MOVIMENTACOES!E:E,"Saída")</f>
        <v>6</v>
      </c>
      <c r="G42" s="168">
        <f t="shared" si="1"/>
        <v>1</v>
      </c>
      <c r="H42" s="169" t="str">
        <f t="shared" si="2"/>
        <v>Atenção</v>
      </c>
      <c r="I42" s="170" t="str">
        <f>VLOOKUP(A42, PRODUTOS!A:H, 3, FALSE)</f>
        <v>EFECTIV</v>
      </c>
    </row>
    <row r="43" ht="20.25" customHeight="1">
      <c r="A43" s="36">
        <v>2.00000098E8</v>
      </c>
      <c r="B43" s="20" t="str">
        <f>VLOOKUP(A43,produto,2,0)</f>
        <v>LAMINA SURFORM</v>
      </c>
      <c r="C43" s="172" t="s">
        <v>242</v>
      </c>
      <c r="D43" s="166" t="str">
        <f>IFERROR(VLOOKUP(A43,PRODUTOS!A:E,4,FALSE), "Categoria não encontrada")</f>
        <v/>
      </c>
      <c r="E43" s="166">
        <f>SUMIFS(MOVIMENTACOES!F:F,MOVIMENTACOES!C:C,A43,MOVIMENTACOES!E:E,"Entrada")</f>
        <v>3</v>
      </c>
      <c r="F43" s="166">
        <f>SUMIFS(MOVIMENTACOES!F:F,MOVIMENTACOES!C:C,A43,MOVIMENTACOES!E:E,"Saída")</f>
        <v>0</v>
      </c>
      <c r="G43" s="168">
        <f t="shared" si="1"/>
        <v>3</v>
      </c>
      <c r="H43" s="169" t="str">
        <f t="shared" si="2"/>
        <v>Atenção</v>
      </c>
      <c r="I43" s="170" t="str">
        <f>VLOOKUP(A43, PRODUTOS!A:H, 3, FALSE)</f>
        <v/>
      </c>
    </row>
    <row r="44" ht="20.25" customHeight="1">
      <c r="A44" s="36">
        <v>2.00000097E8</v>
      </c>
      <c r="B44" s="20" t="str">
        <f>VLOOKUP(A44,produto,2,0)</f>
        <v>SILICONE SPRAY 300ML</v>
      </c>
      <c r="C44" s="8" t="str">
        <f>IFERROR(VLOOKUP(A44,PRODUTOS!A:E,5,FALSE), "Categoria não encontrada")</f>
        <v>OFICINA</v>
      </c>
      <c r="D44" s="166" t="str">
        <f>IFERROR(VLOOKUP(A44,PRODUTOS!A:E,4,FALSE), "Categoria não encontrada")</f>
        <v>UN</v>
      </c>
      <c r="E44" s="166">
        <f>SUMIFS(MOVIMENTACOES!F:F,MOVIMENTACOES!C:C,A44,MOVIMENTACOES!E:E,"Entrada")</f>
        <v>6</v>
      </c>
      <c r="F44" s="166">
        <f>SUMIFS(MOVIMENTACOES!F:F,MOVIMENTACOES!C:C,A44,MOVIMENTACOES!E:E,"Saída")</f>
        <v>3</v>
      </c>
      <c r="G44" s="168">
        <f t="shared" si="1"/>
        <v>3</v>
      </c>
      <c r="H44" s="169" t="str">
        <f t="shared" si="2"/>
        <v>Atenção</v>
      </c>
      <c r="I44" s="170" t="str">
        <f>VLOOKUP(A44, PRODUTOS!A:H, 3, FALSE)</f>
        <v>SIGBP</v>
      </c>
    </row>
    <row r="45" ht="20.25" customHeight="1">
      <c r="A45" s="104">
        <v>2.0004416E8</v>
      </c>
      <c r="B45" s="20" t="str">
        <f>VLOOKUP(A45,produto,2,0)</f>
        <v>DESENGRIPANTE SPRAY 300ML</v>
      </c>
      <c r="C45" s="8" t="str">
        <f>IFERROR(VLOOKUP(A45,PRODUTOS!A:E,5,FALSE), "Categoria não encontrada")</f>
        <v>OFICINA</v>
      </c>
      <c r="D45" s="166" t="str">
        <f>IFERROR(VLOOKUP(A45,PRODUTOS!A:E,4,FALSE), "Categoria não encontrada")</f>
        <v>UN</v>
      </c>
      <c r="E45" s="167">
        <f>SUMIFS(MOVIMENTACOES!F:F,MOVIMENTACOES!C:C,A45,MOVIMENTACOES!E:E,"Entrada")</f>
        <v>3</v>
      </c>
      <c r="F45" s="167">
        <f>SUMIFS(MOVIMENTACOES!F:F,MOVIMENTACOES!C:C,A45,MOVIMENTACOES!E:E,"Saída")</f>
        <v>1</v>
      </c>
      <c r="G45" s="168">
        <f t="shared" si="1"/>
        <v>2</v>
      </c>
      <c r="H45" s="169" t="str">
        <f t="shared" si="2"/>
        <v>Atenção</v>
      </c>
      <c r="I45" s="170" t="str">
        <f>VLOOKUP(A45, PRODUTOS!A:H, 3, FALSE)</f>
        <v>SIGBP</v>
      </c>
    </row>
    <row r="46" ht="20.25" customHeight="1">
      <c r="A46" s="171">
        <v>2.0008597E8</v>
      </c>
      <c r="B46" s="20" t="str">
        <f>VLOOKUP(A46,produto,2,0)</f>
        <v>COLA DE CONTATO MULTIUSO DE 2,8KG</v>
      </c>
      <c r="C46" s="8" t="str">
        <f>IFERROR(VLOOKUP(A46,PRODUTOS!A:E,5,FALSE), "Categoria não encontrada")</f>
        <v>OFICINA</v>
      </c>
      <c r="D46" s="166" t="str">
        <f>IFERROR(VLOOKUP(A46,PRODUTOS!A:E,4,FALSE), "Categoria não encontrada")</f>
        <v>UN</v>
      </c>
      <c r="E46" s="166">
        <f>SUMIFS(MOVIMENTACOES!F:F,MOVIMENTACOES!C:C,A46,MOVIMENTACOES!E:E,"Entrada")</f>
        <v>12</v>
      </c>
      <c r="F46" s="166">
        <f>SUMIFS(MOVIMENTACOES!F:F,MOVIMENTACOES!C:C,A46,MOVIMENTACOES!E:E,"Saída")</f>
        <v>10</v>
      </c>
      <c r="G46" s="168">
        <f t="shared" si="1"/>
        <v>2</v>
      </c>
      <c r="H46" s="169" t="str">
        <f t="shared" si="2"/>
        <v>Atenção</v>
      </c>
      <c r="I46" s="170" t="str">
        <f>VLOOKUP(A46, PRODUTOS!A:H, 3, FALSE)</f>
        <v>SIGBP</v>
      </c>
    </row>
    <row r="47" ht="20.25" customHeight="1">
      <c r="A47" s="36">
        <v>2.00000066E8</v>
      </c>
      <c r="B47" s="20" t="str">
        <f>VLOOKUP(A47,produto,2,0)</f>
        <v>ATADURA GESSADA 15cm x 3m, cx com 20 und</v>
      </c>
      <c r="C47" s="8" t="str">
        <f>IFERROR(VLOOKUP(A47,PRODUTOS!A:E,5,FALSE), "Categoria não encontrada")</f>
        <v>ORTESES E PROTESES</v>
      </c>
      <c r="D47" s="166" t="str">
        <f>IFERROR(VLOOKUP(A47,PRODUTOS!A:E,4,FALSE), "Categoria não encontrada")</f>
        <v>CX</v>
      </c>
      <c r="E47" s="166">
        <f>SUMIFS(MOVIMENTACOES!F:F,MOVIMENTACOES!C:C,A47,MOVIMENTACOES!E:E,"Entrada")</f>
        <v>12</v>
      </c>
      <c r="F47" s="166">
        <f>SUMIFS(MOVIMENTACOES!F:F,MOVIMENTACOES!C:C,A47,MOVIMENTACOES!E:E,"Saída")</f>
        <v>9</v>
      </c>
      <c r="G47" s="168">
        <f t="shared" si="1"/>
        <v>3</v>
      </c>
      <c r="H47" s="169" t="str">
        <f t="shared" si="2"/>
        <v>Atenção</v>
      </c>
      <c r="I47" s="173"/>
    </row>
    <row r="48" ht="20.25" customHeight="1">
      <c r="A48" s="36">
        <v>2.00000065E8</v>
      </c>
      <c r="B48" s="20" t="str">
        <f>VLOOKUP(A48,produto,2,0)</f>
        <v>ATADURA GESSADA 20cm x 4m, cx com 20 und</v>
      </c>
      <c r="C48" s="8" t="str">
        <f>IFERROR(VLOOKUP(A48,PRODUTOS!A:E,5,FALSE), "Categoria não encontrada")</f>
        <v>ORTESES E PROTESES</v>
      </c>
      <c r="D48" s="166" t="str">
        <f>IFERROR(VLOOKUP(A48,PRODUTOS!A:E,4,FALSE), "Categoria não encontrada")</f>
        <v>CX</v>
      </c>
      <c r="E48" s="166">
        <f>SUMIFS(MOVIMENTACOES!F:F,MOVIMENTACOES!C:C,A48,MOVIMENTACOES!E:E,"Entrada")</f>
        <v>7</v>
      </c>
      <c r="F48" s="166">
        <f>SUMIFS(MOVIMENTACOES!F:F,MOVIMENTACOES!C:C,A48,MOVIMENTACOES!E:E,"Saída")</f>
        <v>5</v>
      </c>
      <c r="G48" s="168">
        <f t="shared" si="1"/>
        <v>2</v>
      </c>
      <c r="H48" s="169" t="str">
        <f t="shared" si="2"/>
        <v>Atenção</v>
      </c>
      <c r="I48" s="173"/>
    </row>
    <row r="49" ht="20.25" customHeight="1">
      <c r="A49" s="36">
        <v>2.00000095E8</v>
      </c>
      <c r="B49" s="20" t="str">
        <f>VLOOKUP(A49,produto,2,0)</f>
        <v>ENDURECEDOR PARA RESINA</v>
      </c>
      <c r="C49" s="8" t="str">
        <f>IFERROR(VLOOKUP(A49,PRODUTOS!A:E,5,FALSE), "Categoria não encontrada")</f>
        <v>ORTESES E PROTESES</v>
      </c>
      <c r="D49" s="166" t="str">
        <f>IFERROR(VLOOKUP(A49,PRODUTOS!A:E,4,FALSE), "Categoria não encontrada")</f>
        <v>UN</v>
      </c>
      <c r="E49" s="166">
        <f>SUMIFS(MOVIMENTACOES!F:F,MOVIMENTACOES!C:C,A49,MOVIMENTACOES!E:E,"Entrada")</f>
        <v>2</v>
      </c>
      <c r="F49" s="166">
        <f>SUMIFS(MOVIMENTACOES!F:F,MOVIMENTACOES!C:C,A49,MOVIMENTACOES!E:E,"Saída")</f>
        <v>1</v>
      </c>
      <c r="G49" s="168">
        <f t="shared" si="1"/>
        <v>1</v>
      </c>
      <c r="H49" s="169" t="str">
        <f t="shared" si="2"/>
        <v>Atenção</v>
      </c>
      <c r="I49" s="170" t="str">
        <f>VLOOKUP(A49, PRODUTOS!A:H, 3, FALSE)</f>
        <v>SES - Secretaria de Estado da Saude</v>
      </c>
    </row>
    <row r="50" ht="20.25" customHeight="1">
      <c r="A50" s="36">
        <v>2.00000091E8</v>
      </c>
      <c r="B50" s="20" t="str">
        <f>VLOOKUP(A50,produto,2,0)</f>
        <v>(MTA-20)MALHA ORTOPEDICA TUBULAR EM FIO DE ALGODÃO 20cm</v>
      </c>
      <c r="C50" s="8" t="str">
        <f>IFERROR(VLOOKUP(A50,PRODUTOS!A:E,5,FALSE), "Categoria não encontrada")</f>
        <v>ORTESES E PROTESES</v>
      </c>
      <c r="D50" s="166" t="str">
        <f>IFERROR(VLOOKUP(A50,PRODUTOS!A:E,4,FALSE), "Categoria não encontrada")</f>
        <v>UN</v>
      </c>
      <c r="E50" s="166">
        <f>SUMIFS(MOVIMENTACOES!F:F,MOVIMENTACOES!C:C,A50,MOVIMENTACOES!E:E,"Entrada")</f>
        <v>2</v>
      </c>
      <c r="F50" s="166">
        <f>SUMIFS(MOVIMENTACOES!F:F,MOVIMENTACOES!C:C,A50,MOVIMENTACOES!E:E,"Saída")</f>
        <v>0</v>
      </c>
      <c r="G50" s="168">
        <f t="shared" si="1"/>
        <v>2</v>
      </c>
      <c r="H50" s="169" t="str">
        <f t="shared" si="2"/>
        <v>Atenção</v>
      </c>
      <c r="I50" s="170" t="str">
        <f>VLOOKUP(A50, PRODUTOS!A:H, 3, FALSE)</f>
        <v>SES - Secretaria de Estado da Saude</v>
      </c>
    </row>
    <row r="51" ht="20.25" customHeight="1">
      <c r="A51" s="36">
        <v>2.00000066E8</v>
      </c>
      <c r="B51" s="20" t="str">
        <f>VLOOKUP(A51,produto,2,0)</f>
        <v>ATADURA GESSADA 15cm x 3m, cx com 20 und</v>
      </c>
      <c r="C51" s="8" t="str">
        <f>IFERROR(VLOOKUP(A51,PRODUTOS!A:E,5,FALSE), "Categoria não encontrada")</f>
        <v>ORTESES E PROTESES</v>
      </c>
      <c r="D51" s="166" t="str">
        <f>IFERROR(VLOOKUP(A51,PRODUTOS!A:E,4,FALSE), "Categoria não encontrada")</f>
        <v>CX</v>
      </c>
      <c r="E51" s="166">
        <f>SUMIFS(MOVIMENTACOES!F:F,MOVIMENTACOES!C:C,A51,MOVIMENTACOES!E:E,"Entrada")</f>
        <v>12</v>
      </c>
      <c r="F51" s="166">
        <f>SUMIFS(MOVIMENTACOES!F:F,MOVIMENTACOES!C:C,A51,MOVIMENTACOES!E:E,"Saída")</f>
        <v>9</v>
      </c>
      <c r="G51" s="168">
        <f t="shared" si="1"/>
        <v>3</v>
      </c>
      <c r="H51" s="169" t="str">
        <f t="shared" si="2"/>
        <v>Atenção</v>
      </c>
      <c r="I51" s="170" t="str">
        <f>VLOOKUP(A51, PRODUTOS!A:H, 3, FALSE)</f>
        <v/>
      </c>
    </row>
    <row r="52" ht="20.25" customHeight="1">
      <c r="A52" s="36">
        <v>2.00000065E8</v>
      </c>
      <c r="B52" s="20" t="str">
        <f>VLOOKUP(A52,produto,2,0)</f>
        <v>ATADURA GESSADA 20cm x 4m, cx com 20 und</v>
      </c>
      <c r="C52" s="8" t="str">
        <f>IFERROR(VLOOKUP(A52,PRODUTOS!A:E,5,FALSE), "Categoria não encontrada")</f>
        <v>ORTESES E PROTESES</v>
      </c>
      <c r="D52" s="166" t="str">
        <f>IFERROR(VLOOKUP(A52,PRODUTOS!A:E,4,FALSE), "Categoria não encontrada")</f>
        <v>CX</v>
      </c>
      <c r="E52" s="166">
        <f>SUMIFS(MOVIMENTACOES!F:F,MOVIMENTACOES!C:C,A52,MOVIMENTACOES!E:E,"Entrada")</f>
        <v>7</v>
      </c>
      <c r="F52" s="166">
        <f>SUMIFS(MOVIMENTACOES!F:F,MOVIMENTACOES!C:C,A52,MOVIMENTACOES!E:E,"Saída")</f>
        <v>5</v>
      </c>
      <c r="G52" s="168">
        <f t="shared" si="1"/>
        <v>2</v>
      </c>
      <c r="H52" s="169" t="str">
        <f t="shared" si="2"/>
        <v>Atenção</v>
      </c>
      <c r="I52" s="170" t="str">
        <f>VLOOKUP(A52, PRODUTOS!A:H, 3, FALSE)</f>
        <v/>
      </c>
    </row>
    <row r="53" ht="20.25" customHeight="1">
      <c r="A53" s="36">
        <v>2.00000068E8</v>
      </c>
      <c r="B53" s="20" t="str">
        <f>VLOOKUP(A53,produto,2,0)</f>
        <v>COB. EVA 1,5 mm OCRE PERFUROS</v>
      </c>
      <c r="C53" s="8" t="str">
        <f>IFERROR(VLOOKUP(A53,PRODUTOS!A:E,5,FALSE), "Categoria não encontrada")</f>
        <v>OFICINA</v>
      </c>
      <c r="D53" s="166" t="str">
        <f>IFERROR(VLOOKUP(A53,PRODUTOS!A:E,4,FALSE), "Categoria não encontrada")</f>
        <v>UN</v>
      </c>
      <c r="E53" s="166">
        <f>SUMIFS(MOVIMENTACOES!F:F,MOVIMENTACOES!C:C,A53,MOVIMENTACOES!E:E,"Entrada")</f>
        <v>1</v>
      </c>
      <c r="F53" s="166">
        <f>SUMIFS(MOVIMENTACOES!F:F,MOVIMENTACOES!C:C,A53,MOVIMENTACOES!E:E,"Saída")</f>
        <v>0</v>
      </c>
      <c r="G53" s="168">
        <f t="shared" si="1"/>
        <v>1</v>
      </c>
      <c r="H53" s="169" t="str">
        <f t="shared" si="2"/>
        <v>Atenção</v>
      </c>
      <c r="I53" s="170" t="str">
        <f>VLOOKUP(A53, PRODUTOS!A:H, 3, FALSE)</f>
        <v/>
      </c>
    </row>
    <row r="54" ht="20.25" customHeight="1">
      <c r="A54" s="36">
        <v>2.00000069E8</v>
      </c>
      <c r="B54" s="20" t="str">
        <f>VLOOKUP(A54,produto,2,0)</f>
        <v>COB. EVA 2,5 mm OCRE PERFUROS</v>
      </c>
      <c r="C54" s="8" t="str">
        <f>IFERROR(VLOOKUP(A54,PRODUTOS!A:E,5,FALSE), "Categoria não encontrada")</f>
        <v>OFICINA</v>
      </c>
      <c r="D54" s="166" t="str">
        <f>IFERROR(VLOOKUP(A54,PRODUTOS!A:E,4,FALSE), "Categoria não encontrada")</f>
        <v>UN</v>
      </c>
      <c r="E54" s="166">
        <f>SUMIFS(MOVIMENTACOES!F:F,MOVIMENTACOES!C:C,A54,MOVIMENTACOES!E:E,"Entrada")</f>
        <v>1</v>
      </c>
      <c r="F54" s="166">
        <f>SUMIFS(MOVIMENTACOES!F:F,MOVIMENTACOES!C:C,A54,MOVIMENTACOES!E:E,"Saída")</f>
        <v>0</v>
      </c>
      <c r="G54" s="168">
        <f t="shared" si="1"/>
        <v>1</v>
      </c>
      <c r="H54" s="169" t="str">
        <f t="shared" si="2"/>
        <v>Atenção</v>
      </c>
      <c r="I54" s="170" t="str">
        <f>VLOOKUP(A54, PRODUTOS!A:H, 3, FALSE)</f>
        <v/>
      </c>
    </row>
    <row r="55" ht="20.25" customHeight="1">
      <c r="A55" s="36">
        <v>2.0000007E8</v>
      </c>
      <c r="B55" s="20" t="str">
        <f>VLOOKUP(A55,produto,2,0)</f>
        <v>COB. EVA 3 mm PERFURADA OCRE G</v>
      </c>
      <c r="C55" s="8" t="str">
        <f>IFERROR(VLOOKUP(A55,PRODUTOS!A:E,5,FALSE), "Categoria não encontrada")</f>
        <v>OFICINA</v>
      </c>
      <c r="D55" s="166" t="str">
        <f>IFERROR(VLOOKUP(A55,PRODUTOS!A:E,4,FALSE), "Categoria não encontrada")</f>
        <v>UN</v>
      </c>
      <c r="E55" s="166">
        <f>SUMIFS(MOVIMENTACOES!F:F,MOVIMENTACOES!C:C,A55,MOVIMENTACOES!E:E,"Entrada")</f>
        <v>1</v>
      </c>
      <c r="F55" s="166">
        <f>SUMIFS(MOVIMENTACOES!F:F,MOVIMENTACOES!C:C,A55,MOVIMENTACOES!E:E,"Saída")</f>
        <v>0</v>
      </c>
      <c r="G55" s="168">
        <f t="shared" si="1"/>
        <v>1</v>
      </c>
      <c r="H55" s="169" t="str">
        <f t="shared" si="2"/>
        <v>Atenção</v>
      </c>
      <c r="I55" s="170" t="str">
        <f>VLOOKUP(A55, PRODUTOS!A:H, 3, FALSE)</f>
        <v/>
      </c>
    </row>
    <row r="56" ht="20.25" customHeight="1">
      <c r="A56" s="171">
        <v>2.00046153E8</v>
      </c>
      <c r="B56" s="20" t="str">
        <f>VLOOKUP(A56,produto,2,0)</f>
        <v>ALMOFADA DE AR PNEUMATICA COM VALVULA DE REAJUSTE</v>
      </c>
      <c r="C56" s="8" t="str">
        <f>IFERROR(VLOOKUP(A56,PRODUTOS!A:E,5,FALSE), "Categoria não encontrada")</f>
        <v>OPM Auxiliares de Locomoção</v>
      </c>
      <c r="D56" s="166" t="str">
        <f>IFERROR(VLOOKUP(A56,PRODUTOS!A:E,4,FALSE), "Categoria não encontrada")</f>
        <v>UN</v>
      </c>
      <c r="E56" s="166">
        <f>SUMIFS(MOVIMENTACOES!F:F,MOVIMENTACOES!C:C,A56,MOVIMENTACOES!E:E,"Entrada")</f>
        <v>30</v>
      </c>
      <c r="F56" s="166">
        <f>SUMIFS(MOVIMENTACOES!F:F,MOVIMENTACOES!C:C,A56,MOVIMENTACOES!E:E,"Saída")</f>
        <v>27</v>
      </c>
      <c r="G56" s="168">
        <f t="shared" si="1"/>
        <v>3</v>
      </c>
      <c r="H56" s="169" t="str">
        <f t="shared" si="2"/>
        <v>Atenção</v>
      </c>
      <c r="I56" s="170" t="str">
        <f>VLOOKUP(A56, PRODUTOS!A:H, 3, FALSE)</f>
        <v>DELLAMED</v>
      </c>
    </row>
    <row r="57" ht="20.25" customHeight="1">
      <c r="A57" s="174" t="s">
        <v>311</v>
      </c>
      <c r="B57" s="20" t="str">
        <f>VLOOKUP(A57,produto,2,0)</f>
        <v>CJ PEDAL ELEVAVEL L30 MINIK V2</v>
      </c>
      <c r="C57" s="8" t="str">
        <f>IFERROR(VLOOKUP(A57,PRODUTOS!A:E,5,FALSE), "Categoria não encontrada")</f>
        <v>OPM Auxiliares de Locomoção</v>
      </c>
      <c r="D57" s="166" t="str">
        <f>IFERROR(VLOOKUP(A57,PRODUTOS!A:E,4,FALSE), "Categoria não encontrada")</f>
        <v>UN</v>
      </c>
      <c r="E57" s="166">
        <f>SUMIFS(MOVIMENTACOES!F:F,MOVIMENTACOES!C:C,A57,MOVIMENTACOES!E:E,"Entrada")</f>
        <v>2</v>
      </c>
      <c r="F57" s="166">
        <f>SUMIFS(MOVIMENTACOES!F:F,MOVIMENTACOES!C:C,A57,MOVIMENTACOES!E:E,"Saída")</f>
        <v>0</v>
      </c>
      <c r="G57" s="168">
        <f t="shared" si="1"/>
        <v>2</v>
      </c>
      <c r="H57" s="169" t="str">
        <f t="shared" si="2"/>
        <v>Atenção</v>
      </c>
      <c r="I57" s="170" t="str">
        <f>VLOOKUP(A57, PRODUTOS!A:H, 3, FALSE)</f>
        <v>ORTOBRAS</v>
      </c>
    </row>
    <row r="58" ht="20.25" customHeight="1">
      <c r="A58" s="175" t="s">
        <v>319</v>
      </c>
      <c r="B58" s="20" t="str">
        <f>VLOOKUP(A58,produto,2,0)</f>
        <v>CJ PEDAL DIR/ESQ INFANTIL K2/K3 (PAR)</v>
      </c>
      <c r="C58" s="8" t="str">
        <f>IFERROR(VLOOKUP(A58,PRODUTOS!A:E,5,FALSE), "Categoria não encontrada")</f>
        <v>OPM Auxiliares de Locomoção</v>
      </c>
      <c r="D58" s="166" t="str">
        <f>IFERROR(VLOOKUP(A58,PRODUTOS!A:E,4,FALSE), "Categoria não encontrada")</f>
        <v>UN</v>
      </c>
      <c r="E58" s="166">
        <f>SUMIFS(MOVIMENTACOES!F:F,MOVIMENTACOES!C:C,A58,MOVIMENTACOES!E:E,"Entrada")</f>
        <v>3</v>
      </c>
      <c r="F58" s="166">
        <f>SUMIFS(MOVIMENTACOES!F:F,MOVIMENTACOES!C:C,A58,MOVIMENTACOES!E:E,"Saída")</f>
        <v>0</v>
      </c>
      <c r="G58" s="168">
        <f t="shared" si="1"/>
        <v>3</v>
      </c>
      <c r="H58" s="169" t="str">
        <f t="shared" si="2"/>
        <v>Atenção</v>
      </c>
      <c r="I58" s="170" t="str">
        <f>VLOOKUP(A58, PRODUTOS!A:H, 3, FALSE)</f>
        <v>ORTOBRAS</v>
      </c>
    </row>
    <row r="59" ht="20.25" customHeight="1">
      <c r="A59" s="36">
        <v>2.00000032E8</v>
      </c>
      <c r="B59" s="20" t="str">
        <f>VLOOKUP(A59,produto,2,0)</f>
        <v>INJETADO SOMENTE ENGATE 25 MM</v>
      </c>
      <c r="C59" s="8" t="str">
        <f>IFERROR(VLOOKUP(A59,PRODUTOS!A:E,5,FALSE), "Categoria não encontrada")</f>
        <v>TAPEÇARIA</v>
      </c>
      <c r="D59" s="166" t="str">
        <f>IFERROR(VLOOKUP(A59,PRODUTOS!A:E,4,FALSE), "Categoria não encontrada")</f>
        <v>UN</v>
      </c>
      <c r="E59" s="166">
        <f>SUMIFS(MOVIMENTACOES!F:F,MOVIMENTACOES!C:C,A59,MOVIMENTACOES!E:E,"Entrada")</f>
        <v>10</v>
      </c>
      <c r="F59" s="166">
        <f>SUMIFS(MOVIMENTACOES!F:F,MOVIMENTACOES!C:C,A59,MOVIMENTACOES!E:E,"Saída")</f>
        <v>7</v>
      </c>
      <c r="G59" s="168">
        <f t="shared" si="1"/>
        <v>3</v>
      </c>
      <c r="H59" s="169" t="str">
        <f t="shared" si="2"/>
        <v>Atenção</v>
      </c>
      <c r="I59" s="170" t="str">
        <f>VLOOKUP(A59, PRODUTOS!A:H, 3, FALSE)</f>
        <v>SIGBP</v>
      </c>
    </row>
    <row r="60" ht="20.25" customHeight="1">
      <c r="A60" s="176">
        <v>2.00000034E8</v>
      </c>
      <c r="B60" s="20" t="str">
        <f>VLOOKUP(A60,produto,2,0)</f>
        <v>INJETADO SOMENTE ENGATE 50 MM</v>
      </c>
      <c r="C60" s="8" t="str">
        <f>IFERROR(VLOOKUP(A60,PRODUTOS!A:E,5,FALSE), "Categoria não encontrada")</f>
        <v>TAPEÇARIA</v>
      </c>
      <c r="D60" s="166" t="str">
        <f>IFERROR(VLOOKUP(A60,PRODUTOS!A:E,4,FALSE), "Categoria não encontrada")</f>
        <v>UN</v>
      </c>
      <c r="E60" s="166">
        <f>SUMIFS(MOVIMENTACOES!F:F,MOVIMENTACOES!C:C,A60,MOVIMENTACOES!E:E,"Entrada")</f>
        <v>2</v>
      </c>
      <c r="F60" s="166">
        <f>SUMIFS(MOVIMENTACOES!F:F,MOVIMENTACOES!C:C,A60,MOVIMENTACOES!E:E,"Saída")</f>
        <v>0</v>
      </c>
      <c r="G60" s="168">
        <f t="shared" si="1"/>
        <v>2</v>
      </c>
      <c r="H60" s="169" t="str">
        <f t="shared" si="2"/>
        <v>Atenção</v>
      </c>
      <c r="I60" s="170" t="str">
        <f>VLOOKUP(A60, PRODUTOS!A:H, 3, FALSE)</f>
        <v>SIGBP</v>
      </c>
    </row>
    <row r="61" ht="20.25" customHeight="1">
      <c r="A61" s="36">
        <v>2.00006455E8</v>
      </c>
      <c r="B61" s="20" t="str">
        <f>VLOOKUP(A61,produto,2,0)</f>
        <v>TECIDO NAVALHADO ACOPLADO JAC BOREAL 1,80M</v>
      </c>
      <c r="C61" s="8" t="str">
        <f>IFERROR(VLOOKUP(A61,PRODUTOS!A:E,5,FALSE), "Categoria não encontrada")</f>
        <v>TAPEÇARIA</v>
      </c>
      <c r="D61" s="166" t="str">
        <f>IFERROR(VLOOKUP(A61,PRODUTOS!A:E,4,FALSE), "Categoria não encontrada")</f>
        <v>MT</v>
      </c>
      <c r="E61" s="166">
        <f>SUMIFS(MOVIMENTACOES!F:F,MOVIMENTACOES!C:C,A61,MOVIMENTACOES!E:E,"Entrada")</f>
        <v>1</v>
      </c>
      <c r="F61" s="166">
        <f>SUMIFS(MOVIMENTACOES!F:F,MOVIMENTACOES!C:C,A61,MOVIMENTACOES!E:E,"Saída")</f>
        <v>0</v>
      </c>
      <c r="G61" s="168">
        <f t="shared" si="1"/>
        <v>1</v>
      </c>
      <c r="H61" s="169" t="str">
        <f t="shared" si="2"/>
        <v>Atenção</v>
      </c>
      <c r="I61" s="170" t="str">
        <f>VLOOKUP(A61, PRODUTOS!A:H, 3, FALSE)</f>
        <v>SÁ IRMÃOS</v>
      </c>
    </row>
    <row r="62" ht="20.25" customHeight="1">
      <c r="A62" s="104" t="s">
        <v>494</v>
      </c>
      <c r="B62" s="20" t="str">
        <f>VLOOKUP(A62,produto,2,0)</f>
        <v>Tesoura Alfaiate 4598-12 Onyx 12" Preta Mundial</v>
      </c>
      <c r="C62" s="8" t="str">
        <f>IFERROR(VLOOKUP(A62,PRODUTOS!A:E,5,FALSE), "Categoria não encontrada")</f>
        <v>TAPEÇARIA</v>
      </c>
      <c r="D62" s="166" t="str">
        <f>IFERROR(VLOOKUP(A62,PRODUTOS!A:E,4,FALSE), "Categoria não encontrada")</f>
        <v>UN</v>
      </c>
      <c r="E62" s="167">
        <f>SUMIFS(MOVIMENTACOES!F:F,MOVIMENTACOES!C:C,A62,MOVIMENTACOES!E:E,"Entrada")</f>
        <v>3</v>
      </c>
      <c r="F62" s="167">
        <f>SUMIFS(MOVIMENTACOES!F:F,MOVIMENTACOES!C:C,A62,MOVIMENTACOES!E:E,"Saída")</f>
        <v>2</v>
      </c>
      <c r="G62" s="168">
        <f t="shared" si="1"/>
        <v>1</v>
      </c>
      <c r="H62" s="169" t="str">
        <f t="shared" si="2"/>
        <v>Atenção</v>
      </c>
      <c r="I62" s="170" t="str">
        <f>VLOOKUP(A62, PRODUTOS!A:H, 3, FALSE)</f>
        <v>SIGBP</v>
      </c>
    </row>
    <row r="63" ht="20.25" customHeight="1">
      <c r="A63" s="104" t="s">
        <v>501</v>
      </c>
      <c r="B63" s="20" t="str">
        <f>VLOOKUP(A63,produto,2,0)</f>
        <v>Tesoura Lister 20cm - Cooperflex Prime</v>
      </c>
      <c r="C63" s="8" t="str">
        <f>IFERROR(VLOOKUP(A63,PRODUTOS!A:E,5,FALSE), "Categoria não encontrada")</f>
        <v>TAPEÇARIA</v>
      </c>
      <c r="D63" s="166" t="str">
        <f>IFERROR(VLOOKUP(A63,PRODUTOS!A:E,4,FALSE), "Categoria não encontrada")</f>
        <v>UN</v>
      </c>
      <c r="E63" s="167">
        <f>SUMIFS(MOVIMENTACOES!F:F,MOVIMENTACOES!C:C,A63,MOVIMENTACOES!E:E,"Entrada")</f>
        <v>3</v>
      </c>
      <c r="F63" s="167">
        <f>SUMIFS(MOVIMENTACOES!F:F,MOVIMENTACOES!C:C,A63,MOVIMENTACOES!E:E,"Saída")</f>
        <v>1</v>
      </c>
      <c r="G63" s="168">
        <f t="shared" si="1"/>
        <v>2</v>
      </c>
      <c r="H63" s="169" t="str">
        <f t="shared" si="2"/>
        <v>Atenção</v>
      </c>
      <c r="I63" s="170" t="str">
        <f>VLOOKUP(A63, PRODUTOS!A:H, 3, FALSE)</f>
        <v>SIGBP</v>
      </c>
    </row>
    <row r="64" ht="20.25" customHeight="1">
      <c r="A64" s="104" t="s">
        <v>505</v>
      </c>
      <c r="B64" s="20" t="str">
        <f>VLOOKUP(A64,produto,2,0)</f>
        <v>Tesoura Multiuso 990-10 Cushion Pro 10" Azul Mundial</v>
      </c>
      <c r="C64" s="8" t="str">
        <f>IFERROR(VLOOKUP(A64,PRODUTOS!A:E,5,FALSE), "Categoria não encontrada")</f>
        <v>TAPEÇARIA</v>
      </c>
      <c r="D64" s="166" t="str">
        <f>IFERROR(VLOOKUP(A64,PRODUTOS!A:E,4,FALSE), "Categoria não encontrada")</f>
        <v>UN</v>
      </c>
      <c r="E64" s="167">
        <f>SUMIFS(MOVIMENTACOES!F:F,MOVIMENTACOES!C:C,A64,MOVIMENTACOES!E:E,"Entrada")</f>
        <v>4</v>
      </c>
      <c r="F64" s="167">
        <f>SUMIFS(MOVIMENTACOES!F:F,MOVIMENTACOES!C:C,A64,MOVIMENTACOES!E:E,"Saída")</f>
        <v>1</v>
      </c>
      <c r="G64" s="168">
        <f t="shared" si="1"/>
        <v>3</v>
      </c>
      <c r="H64" s="169" t="str">
        <f t="shared" si="2"/>
        <v>Atenção</v>
      </c>
      <c r="I64" s="170" t="str">
        <f>VLOOKUP(A64, PRODUTOS!A:H, 3, FALSE)</f>
        <v>SIGBP</v>
      </c>
    </row>
    <row r="65" ht="20.25" customHeight="1">
      <c r="A65" s="104" t="s">
        <v>509</v>
      </c>
      <c r="B65" s="20" t="str">
        <f>VLOOKUP(A65,produto,2,0)</f>
        <v>Tesoura Tecelão 601N-4.1/2 Ponto Vermelho 4 1/2" Preta Mundial</v>
      </c>
      <c r="C65" s="8" t="str">
        <f>IFERROR(VLOOKUP(A65,PRODUTOS!A:E,5,FALSE), "Categoria não encontrada")</f>
        <v>TAPEÇARIA</v>
      </c>
      <c r="D65" s="166" t="str">
        <f>IFERROR(VLOOKUP(A65,PRODUTOS!A:E,4,FALSE), "Categoria não encontrada")</f>
        <v>UN</v>
      </c>
      <c r="E65" s="167">
        <f>SUMIFS(MOVIMENTACOES!F:F,MOVIMENTACOES!C:C,A65,MOVIMENTACOES!E:E,"Entrada")</f>
        <v>3</v>
      </c>
      <c r="F65" s="167">
        <f>SUMIFS(MOVIMENTACOES!F:F,MOVIMENTACOES!C:C,A65,MOVIMENTACOES!E:E,"Saída")</f>
        <v>2</v>
      </c>
      <c r="G65" s="168">
        <f t="shared" si="1"/>
        <v>1</v>
      </c>
      <c r="H65" s="169" t="str">
        <f t="shared" si="2"/>
        <v>Atenção</v>
      </c>
      <c r="I65" s="170" t="str">
        <f>VLOOKUP(A65, PRODUTOS!A:H, 3, FALSE)</f>
        <v>SIGBP</v>
      </c>
    </row>
    <row r="66" ht="20.25" customHeight="1">
      <c r="A66" s="171">
        <v>2.00000028E8</v>
      </c>
      <c r="B66" s="20" t="str">
        <f>VLOOKUP(A66,produto,2,0)</f>
        <v>Tesoura Tecelão Industrial Reta 1801 Practical 4" Mundial</v>
      </c>
      <c r="C66" s="8" t="str">
        <f>IFERROR(VLOOKUP(A66,PRODUTOS!A:E,5,FALSE), "Categoria não encontrada")</f>
        <v>TAPEÇARIA</v>
      </c>
      <c r="D66" s="166" t="str">
        <f>IFERROR(VLOOKUP(A66,PRODUTOS!A:E,4,FALSE), "Categoria não encontrada")</f>
        <v>UN</v>
      </c>
      <c r="E66" s="167">
        <f>SUMIFS(MOVIMENTACOES!F:F,MOVIMENTACOES!C:C,A66,MOVIMENTACOES!E:E,"Entrada")</f>
        <v>3</v>
      </c>
      <c r="F66" s="167">
        <f>SUMIFS(MOVIMENTACOES!F:F,MOVIMENTACOES!C:C,A66,MOVIMENTACOES!E:E,"Saída")</f>
        <v>2</v>
      </c>
      <c r="G66" s="168">
        <f t="shared" si="1"/>
        <v>1</v>
      </c>
      <c r="H66" s="169" t="str">
        <f t="shared" si="2"/>
        <v>Atenção</v>
      </c>
      <c r="I66" s="170" t="str">
        <f>VLOOKUP(A66, PRODUTOS!A:H, 3, FALSE)</f>
        <v>SIGBP</v>
      </c>
    </row>
    <row r="67" ht="20.25" customHeight="1">
      <c r="A67" s="36">
        <v>2.00135429E8</v>
      </c>
      <c r="B67" s="20" t="str">
        <f>VLOOKUP(A67,produto,2,0)</f>
        <v>NYLON 900 PVC PRETO LARG 1.50 (RL)</v>
      </c>
      <c r="C67" s="8" t="str">
        <f>IFERROR(VLOOKUP(A67,PRODUTOS!A:E,5,FALSE), "Categoria não encontrada")</f>
        <v>TAPEÇARIA</v>
      </c>
      <c r="D67" s="166" t="str">
        <f>IFERROR(VLOOKUP(A67,PRODUTOS!A:E,4,FALSE), "Categoria não encontrada")</f>
        <v>UN</v>
      </c>
      <c r="E67" s="167">
        <f>SUMIFS(MOVIMENTACOES!F:F,MOVIMENTACOES!C:C,A67,MOVIMENTACOES!E:E,"Entrada")</f>
        <v>6</v>
      </c>
      <c r="F67" s="167">
        <f>SUMIFS(MOVIMENTACOES!F:F,MOVIMENTACOES!C:C,A67,MOVIMENTACOES!E:E,"Saída")</f>
        <v>4</v>
      </c>
      <c r="G67" s="168">
        <f t="shared" si="1"/>
        <v>2</v>
      </c>
      <c r="H67" s="169" t="str">
        <f t="shared" si="2"/>
        <v>Atenção</v>
      </c>
      <c r="I67" s="170" t="str">
        <f>VLOOKUP(A67, PRODUTOS!A:H, 3, FALSE)</f>
        <v>(PK)RAFAEL LIMA</v>
      </c>
    </row>
    <row r="68" ht="20.25" customHeight="1">
      <c r="A68" s="36">
        <v>2.00000006E8</v>
      </c>
      <c r="B68" s="20" t="str">
        <f>VLOOKUP(A68,produto,2,0)</f>
        <v>OLEO MINERAL 70PS</v>
      </c>
      <c r="C68" s="8" t="str">
        <f>IFERROR(VLOOKUP(A68,PRODUTOS!A:E,5,FALSE), "Categoria não encontrada")</f>
        <v>CONSUMO</v>
      </c>
      <c r="D68" s="166" t="str">
        <f>IFERROR(VLOOKUP(A68,PRODUTOS!A:E,4,FALSE), "Categoria não encontrada")</f>
        <v>UN</v>
      </c>
      <c r="E68" s="166">
        <f>SUMIFS(MOVIMENTACOES!F:F,MOVIMENTACOES!C:C,A68,MOVIMENTACOES!E:E,"Entrada")</f>
        <v>1</v>
      </c>
      <c r="F68" s="166">
        <f>SUMIFS(MOVIMENTACOES!F:F,MOVIMENTACOES!C:C,A68,MOVIMENTACOES!E:E,"Saída")</f>
        <v>1</v>
      </c>
      <c r="G68" s="168">
        <f t="shared" si="1"/>
        <v>0</v>
      </c>
      <c r="H68" s="177" t="str">
        <f t="shared" si="2"/>
        <v>Faltando</v>
      </c>
      <c r="I68" s="170" t="str">
        <f>VLOOKUP(A68, PRODUTOS!A:H, 3, FALSE)</f>
        <v>CASASLEO</v>
      </c>
    </row>
    <row r="69" ht="20.25" customHeight="1">
      <c r="A69" s="104">
        <v>2.00036752E8</v>
      </c>
      <c r="B69" s="20" t="str">
        <f>VLOOKUP(A69,produto,2,0)</f>
        <v>ALCOOL 1LT</v>
      </c>
      <c r="C69" s="8" t="str">
        <f>IFERROR(VLOOKUP(A69,PRODUTOS!A:E,5,FALSE), "Categoria não encontrada")</f>
        <v>EXPEDIENTE</v>
      </c>
      <c r="D69" s="166" t="str">
        <f>IFERROR(VLOOKUP(A69,PRODUTOS!A:E,4,FALSE), "Categoria não encontrada")</f>
        <v>UN</v>
      </c>
      <c r="E69" s="167">
        <f>SUMIFS(MOVIMENTACOES!F:F,MOVIMENTACOES!C:C,A69,MOVIMENTACOES!E:E,"Entrada")</f>
        <v>13</v>
      </c>
      <c r="F69" s="167">
        <f>SUMIFS(MOVIMENTACOES!F:F,MOVIMENTACOES!C:C,A69,MOVIMENTACOES!E:E,"Saída")</f>
        <v>13</v>
      </c>
      <c r="G69" s="168">
        <f t="shared" si="1"/>
        <v>0</v>
      </c>
      <c r="H69" s="169" t="str">
        <f t="shared" si="2"/>
        <v>Faltando</v>
      </c>
      <c r="I69" s="170" t="str">
        <f>VLOOKUP(A69, PRODUTOS!A:H, 3, FALSE)</f>
        <v>SIGBP</v>
      </c>
    </row>
    <row r="70" ht="20.25" customHeight="1">
      <c r="A70" s="104">
        <v>2.00056827E8</v>
      </c>
      <c r="B70" s="20" t="str">
        <f>VLOOKUP(A70,produto,2,0)</f>
        <v>BORRACHA ESCOLAR BRANCA 34X23X8</v>
      </c>
      <c r="C70" s="8" t="str">
        <f>IFERROR(VLOOKUP(A70,PRODUTOS!A:E,5,FALSE), "Categoria não encontrada")</f>
        <v>EXPEDIENTE</v>
      </c>
      <c r="D70" s="166" t="str">
        <f>IFERROR(VLOOKUP(A70,PRODUTOS!A:E,4,FALSE), "Categoria não encontrada")</f>
        <v>UN</v>
      </c>
      <c r="E70" s="167">
        <f>SUMIFS(MOVIMENTACOES!F:F,MOVIMENTACOES!C:C,A70,MOVIMENTACOES!E:E,"Entrada")</f>
        <v>4</v>
      </c>
      <c r="F70" s="167">
        <f>SUMIFS(MOVIMENTACOES!F:F,MOVIMENTACOES!C:C,A70,MOVIMENTACOES!E:E,"Saída")</f>
        <v>4</v>
      </c>
      <c r="G70" s="168">
        <f t="shared" si="1"/>
        <v>0</v>
      </c>
      <c r="H70" s="169" t="str">
        <f t="shared" si="2"/>
        <v>Faltando</v>
      </c>
      <c r="I70" s="170" t="str">
        <f>VLOOKUP(A70, PRODUTOS!A:H, 3, FALSE)</f>
        <v>SIGBP</v>
      </c>
    </row>
    <row r="71" ht="20.25" customHeight="1">
      <c r="A71" s="171">
        <v>2.00041824E8</v>
      </c>
      <c r="B71" s="20" t="str">
        <f>VLOOKUP(A71,produto,2,0)</f>
        <v>ELASTICOS AMARELO</v>
      </c>
      <c r="C71" s="8" t="str">
        <f>IFERROR(VLOOKUP(A71,PRODUTOS!A:E,5,FALSE), "Categoria não encontrada")</f>
        <v>EXPEDIENTE</v>
      </c>
      <c r="D71" s="178" t="str">
        <f>IFERROR(VLOOKUP(A71,PRODUTOS!A:E,4,FALSE), "Categoria não encontrada")</f>
        <v>PCT</v>
      </c>
      <c r="E71" s="178">
        <v>2.0</v>
      </c>
      <c r="F71" s="167">
        <f>SUMIFS(MOVIMENTACOES!F:F,MOVIMENTACOES!C:C,A71,MOVIMENTACOES!E:E,"Saída")</f>
        <v>2</v>
      </c>
      <c r="G71" s="168">
        <f t="shared" si="1"/>
        <v>0</v>
      </c>
      <c r="H71" s="169" t="str">
        <f t="shared" si="2"/>
        <v>Faltando</v>
      </c>
      <c r="I71" s="170" t="str">
        <f>VLOOKUP(A71, PRODUTOS!A:H, 3, FALSE)</f>
        <v>SIGBP</v>
      </c>
    </row>
    <row r="72" ht="20.25" customHeight="1">
      <c r="A72" s="104">
        <v>2.00036618E8</v>
      </c>
      <c r="B72" s="20" t="str">
        <f>VLOOKUP(A72,produto,2,0)</f>
        <v>ESPONJA SINTETICA DUPLA FACE 10X7X2</v>
      </c>
      <c r="C72" s="8" t="str">
        <f>IFERROR(VLOOKUP(A72,PRODUTOS!A:E,5,FALSE), "Categoria não encontrada")</f>
        <v>EXPEDIENTE</v>
      </c>
      <c r="D72" s="166" t="str">
        <f>IFERROR(VLOOKUP(A72,PRODUTOS!A:E,4,FALSE), "Categoria não encontrada")</f>
        <v>UN</v>
      </c>
      <c r="E72" s="167">
        <f>SUMIFS(MOVIMENTACOES!F:F,MOVIMENTACOES!C:C,A72,MOVIMENTACOES!E:E,"Entrada")</f>
        <v>7</v>
      </c>
      <c r="F72" s="167">
        <f>SUMIFS(MOVIMENTACOES!F:F,MOVIMENTACOES!C:C,A72,MOVIMENTACOES!E:E,"Saída")</f>
        <v>7</v>
      </c>
      <c r="G72" s="168">
        <f t="shared" si="1"/>
        <v>0</v>
      </c>
      <c r="H72" s="169" t="str">
        <f t="shared" si="2"/>
        <v>Faltando</v>
      </c>
      <c r="I72" s="170" t="str">
        <f>VLOOKUP(A72, PRODUTOS!A:H, 3, FALSE)</f>
        <v>SIGBP</v>
      </c>
    </row>
    <row r="73" ht="20.25" customHeight="1">
      <c r="A73" s="171">
        <v>2.00054364E8</v>
      </c>
      <c r="B73" s="20" t="str">
        <f>VLOOKUP(A73,produto,2,0)</f>
        <v>ESTILETE PLASTICO DE 13CM LAMINA LARGA</v>
      </c>
      <c r="C73" s="8" t="str">
        <f>IFERROR(VLOOKUP(A73,PRODUTOS!A:E,5,FALSE), "Categoria não encontrada")</f>
        <v>EXPEDIENTE</v>
      </c>
      <c r="D73" s="166" t="str">
        <f>IFERROR(VLOOKUP(A73,PRODUTOS!A:E,4,FALSE), "Categoria não encontrada")</f>
        <v>UN</v>
      </c>
      <c r="E73" s="167">
        <f>SUMIFS(MOVIMENTACOES!F:F,MOVIMENTACOES!C:C,A73,MOVIMENTACOES!E:E,"Entrada")</f>
        <v>3</v>
      </c>
      <c r="F73" s="167">
        <f>SUMIFS(MOVIMENTACOES!F:F,MOVIMENTACOES!C:C,A73,MOVIMENTACOES!E:E,"Saída")</f>
        <v>3</v>
      </c>
      <c r="G73" s="168">
        <f t="shared" si="1"/>
        <v>0</v>
      </c>
      <c r="H73" s="169" t="str">
        <f t="shared" si="2"/>
        <v>Faltando</v>
      </c>
      <c r="I73" s="170" t="str">
        <f>VLOOKUP(A73, PRODUTOS!A:H, 3, FALSE)</f>
        <v>SIGBP</v>
      </c>
    </row>
    <row r="74" ht="20.25" customHeight="1">
      <c r="A74" s="104">
        <v>2.00036656E8</v>
      </c>
      <c r="B74" s="20" t="str">
        <f>VLOOKUP(A74,produto,2,0)</f>
        <v>FITA ADESIVA TRANSPARENTE 45MM X 50M</v>
      </c>
      <c r="C74" s="8" t="str">
        <f>IFERROR(VLOOKUP(A74,PRODUTOS!A:E,5,FALSE), "Categoria não encontrada")</f>
        <v>EXPEDIENTE</v>
      </c>
      <c r="D74" s="166" t="str">
        <f>IFERROR(VLOOKUP(A74,PRODUTOS!A:E,4,FALSE), "Categoria não encontrada")</f>
        <v>UN</v>
      </c>
      <c r="E74" s="167">
        <f>SUMIFS(MOVIMENTACOES!F:F,MOVIMENTACOES!C:C,A74,MOVIMENTACOES!E:E,"Entrada")</f>
        <v>12</v>
      </c>
      <c r="F74" s="167">
        <f>SUMIFS(MOVIMENTACOES!F:F,MOVIMENTACOES!C:C,A74,MOVIMENTACOES!E:E,"Saída")</f>
        <v>12</v>
      </c>
      <c r="G74" s="168">
        <f t="shared" si="1"/>
        <v>0</v>
      </c>
      <c r="H74" s="169" t="str">
        <f t="shared" si="2"/>
        <v>Faltando</v>
      </c>
      <c r="I74" s="170" t="str">
        <f>VLOOKUP(A74, PRODUTOS!A:H, 3, FALSE)</f>
        <v>SIGBP</v>
      </c>
    </row>
    <row r="75" ht="20.25" customHeight="1">
      <c r="A75" s="171">
        <v>2.00036416E8</v>
      </c>
      <c r="B75" s="20" t="str">
        <f>VLOOKUP(A75,produto,2,0)</f>
        <v>COLA BRANCA PVA EMBALAGEM DE 1KG</v>
      </c>
      <c r="C75" s="8" t="str">
        <f>IFERROR(VLOOKUP(A75,PRODUTOS!A:E,5,FALSE), "Categoria não encontrada")</f>
        <v>EXPEDIENTE</v>
      </c>
      <c r="D75" s="166" t="str">
        <f>IFERROR(VLOOKUP(A75,PRODUTOS!A:E,4,FALSE), "Categoria não encontrada")</f>
        <v>UN</v>
      </c>
      <c r="E75" s="166">
        <f>SUMIFS(MOVIMENTACOES!F:F,MOVIMENTACOES!C:C,A75,MOVIMENTACOES!E:E,"Entrada")</f>
        <v>1</v>
      </c>
      <c r="F75" s="166">
        <f>SUMIFS(MOVIMENTACOES!F:F,MOVIMENTACOES!C:C,A75,MOVIMENTACOES!E:E,"Saída")</f>
        <v>1</v>
      </c>
      <c r="G75" s="168">
        <f t="shared" si="1"/>
        <v>0</v>
      </c>
      <c r="H75" s="169" t="str">
        <f t="shared" si="2"/>
        <v>Faltando</v>
      </c>
      <c r="I75" s="170" t="str">
        <f>VLOOKUP(A75, PRODUTOS!A:H, 3, FALSE)</f>
        <v>SIGBP</v>
      </c>
    </row>
    <row r="76" ht="20.25" customHeight="1">
      <c r="A76" s="104">
        <v>2.00052793E8</v>
      </c>
      <c r="B76" s="20" t="str">
        <f>VLOOKUP(A76,produto,2,0)</f>
        <v>CORRETIVO EM FITA 5MMX12M</v>
      </c>
      <c r="C76" s="8" t="str">
        <f>IFERROR(VLOOKUP(A76,PRODUTOS!A:E,5,FALSE), "Categoria não encontrada")</f>
        <v>EXPEDIENTE</v>
      </c>
      <c r="D76" s="166" t="str">
        <f>IFERROR(VLOOKUP(A76,PRODUTOS!A:E,4,FALSE), "Categoria não encontrada")</f>
        <v>UN</v>
      </c>
      <c r="E76" s="167">
        <f>SUMIFS(MOVIMENTACOES!F:F,MOVIMENTACOES!C:C,A76,MOVIMENTACOES!E:E,"Entrada")</f>
        <v>3</v>
      </c>
      <c r="F76" s="167">
        <f>SUMIFS(MOVIMENTACOES!F:F,MOVIMENTACOES!C:C,A76,MOVIMENTACOES!E:E,"Saída")</f>
        <v>3</v>
      </c>
      <c r="G76" s="168">
        <f t="shared" si="1"/>
        <v>0</v>
      </c>
      <c r="H76" s="169" t="str">
        <f t="shared" si="2"/>
        <v>Faltando</v>
      </c>
      <c r="I76" s="170" t="str">
        <f>VLOOKUP(A76, PRODUTOS!A:H, 3, FALSE)</f>
        <v>SIGBP</v>
      </c>
    </row>
    <row r="77" ht="20.25" customHeight="1">
      <c r="A77" s="36">
        <v>2.00036673E8</v>
      </c>
      <c r="B77" s="20" t="str">
        <f>VLOOKUP(A77,produto,2,0)</f>
        <v>LIVRO ATA COM 200 FOLHAS NUMERADAS</v>
      </c>
      <c r="C77" s="8" t="str">
        <f>IFERROR(VLOOKUP(A77,PRODUTOS!A:E,5,FALSE), "Categoria não encontrada")</f>
        <v>EXPEDIENTE</v>
      </c>
      <c r="D77" s="166" t="str">
        <f>IFERROR(VLOOKUP(A77,PRODUTOS!A:E,4,FALSE), "Categoria não encontrada")</f>
        <v>UN</v>
      </c>
      <c r="E77" s="166">
        <f>SUMIFS(MOVIMENTACOES!F:F,MOVIMENTACOES!C:C,A77,MOVIMENTACOES!E:E,"Entrada")</f>
        <v>1</v>
      </c>
      <c r="F77" s="166">
        <f>SUMIFS(MOVIMENTACOES!F:F,MOVIMENTACOES!C:C,A77,MOVIMENTACOES!E:E,"Saída")</f>
        <v>1</v>
      </c>
      <c r="G77" s="168">
        <f t="shared" si="1"/>
        <v>0</v>
      </c>
      <c r="H77" s="169" t="str">
        <f t="shared" si="2"/>
        <v>Faltando</v>
      </c>
      <c r="I77" s="170" t="str">
        <f>VLOOKUP(A77, PRODUTOS!A:H, 3, FALSE)</f>
        <v>SIGBP</v>
      </c>
    </row>
    <row r="78" ht="20.25" customHeight="1">
      <c r="A78" s="104">
        <v>2.00031707E8</v>
      </c>
      <c r="B78" s="20" t="str">
        <f>VLOOKUP(A78,produto,2,0)</f>
        <v>MARCA TEXTO AZUL</v>
      </c>
      <c r="C78" s="8" t="str">
        <f>IFERROR(VLOOKUP(A78,PRODUTOS!A:E,5,FALSE), "Categoria não encontrada")</f>
        <v>EXPEDIENTE</v>
      </c>
      <c r="D78" s="166" t="str">
        <f>IFERROR(VLOOKUP(A78,PRODUTOS!A:E,4,FALSE), "Categoria não encontrada")</f>
        <v>UN</v>
      </c>
      <c r="E78" s="167">
        <f>SUMIFS(MOVIMENTACOES!F:F,MOVIMENTACOES!C:C,A78,MOVIMENTACOES!E:E,"Entrada")</f>
        <v>1</v>
      </c>
      <c r="F78" s="167">
        <f>SUMIFS(MOVIMENTACOES!F:F,MOVIMENTACOES!C:C,A78,MOVIMENTACOES!E:E,"Saída")</f>
        <v>1</v>
      </c>
      <c r="G78" s="168">
        <f t="shared" si="1"/>
        <v>0</v>
      </c>
      <c r="H78" s="169" t="str">
        <f t="shared" si="2"/>
        <v>Faltando</v>
      </c>
      <c r="I78" s="170" t="str">
        <f>VLOOKUP(A78, PRODUTOS!A:H, 3, FALSE)</f>
        <v>SIGBP</v>
      </c>
    </row>
    <row r="79" ht="20.25" customHeight="1">
      <c r="A79" s="104">
        <v>2.00052513E8</v>
      </c>
      <c r="B79" s="20" t="str">
        <f>VLOOKUP(A79,produto,2,0)</f>
        <v>PRANCHETA EM MADEIRA 33X23CM</v>
      </c>
      <c r="C79" s="8" t="str">
        <f>IFERROR(VLOOKUP(A79,PRODUTOS!A:E,5,FALSE), "Categoria não encontrada")</f>
        <v>EXPEDIENTE</v>
      </c>
      <c r="D79" s="166" t="str">
        <f>IFERROR(VLOOKUP(A79,PRODUTOS!A:E,4,FALSE), "Categoria não encontrada")</f>
        <v>UN</v>
      </c>
      <c r="E79" s="167">
        <f>SUMIFS(MOVIMENTACOES!F:F,MOVIMENTACOES!C:C,A79,MOVIMENTACOES!E:E,"Entrada")</f>
        <v>2</v>
      </c>
      <c r="F79" s="167">
        <f>SUMIFS(MOVIMENTACOES!F:F,MOVIMENTACOES!C:C,A79,MOVIMENTACOES!E:E,"Saída")</f>
        <v>2</v>
      </c>
      <c r="G79" s="168">
        <f t="shared" si="1"/>
        <v>0</v>
      </c>
      <c r="H79" s="169" t="str">
        <f t="shared" si="2"/>
        <v>Faltando</v>
      </c>
      <c r="I79" s="170" t="str">
        <f>VLOOKUP(A79, PRODUTOS!A:H, 3, FALSE)</f>
        <v>SIGBP</v>
      </c>
    </row>
    <row r="80" ht="20.25" customHeight="1">
      <c r="A80" s="171">
        <v>2.00066236E8</v>
      </c>
      <c r="B80" s="20" t="str">
        <f>VLOOKUP(A80,produto,2,0)</f>
        <v>ENVELOPE MADEIRA A4 240 X 340MM 80G</v>
      </c>
      <c r="C80" s="8" t="str">
        <f>IFERROR(VLOOKUP(A80,PRODUTOS!A:E,5,FALSE), "Categoria não encontrada")</f>
        <v>EXPEDIENTE</v>
      </c>
      <c r="D80" s="166" t="str">
        <f>IFERROR(VLOOKUP(A80,PRODUTOS!A:E,4,FALSE), "Categoria não encontrada")</f>
        <v>UN</v>
      </c>
      <c r="E80" s="166">
        <f>SUMIFS(MOVIMENTACOES!F:F,MOVIMENTACOES!C:C,A80,MOVIMENTACOES!E:E,"Entrada")</f>
        <v>13</v>
      </c>
      <c r="F80" s="166">
        <f>SUMIFS(MOVIMENTACOES!F:F,MOVIMENTACOES!C:C,A80,MOVIMENTACOES!E:E,"Saída")</f>
        <v>13</v>
      </c>
      <c r="G80" s="168">
        <f t="shared" si="1"/>
        <v>0</v>
      </c>
      <c r="H80" s="169" t="str">
        <f t="shared" si="2"/>
        <v>Faltando</v>
      </c>
      <c r="I80" s="170" t="str">
        <f>VLOOKUP(A80, PRODUTOS!A:H, 3, FALSE)</f>
        <v>SIGBP</v>
      </c>
    </row>
    <row r="81" ht="20.25" customHeight="1">
      <c r="A81" s="171">
        <v>2.00043839E8</v>
      </c>
      <c r="B81" s="20" t="str">
        <f>VLOOKUP(A81,produto,2,0)</f>
        <v>PASTA POLIONDA COM ABA E ELASTICO 34X25X55MM</v>
      </c>
      <c r="C81" s="8" t="str">
        <f>IFERROR(VLOOKUP(A81,PRODUTOS!A:E,5,FALSE), "Categoria não encontrada")</f>
        <v>EXPEDIENTE</v>
      </c>
      <c r="D81" s="166" t="str">
        <f>IFERROR(VLOOKUP(A81,PRODUTOS!A:E,4,FALSE), "Categoria não encontrada")</f>
        <v>UN</v>
      </c>
      <c r="E81" s="166">
        <f>SUMIFS(MOVIMENTACOES!F:F,MOVIMENTACOES!C:C,A81,MOVIMENTACOES!E:E,"Entrada")</f>
        <v>13</v>
      </c>
      <c r="F81" s="166">
        <f>SUMIFS(MOVIMENTACOES!F:F,MOVIMENTACOES!C:C,A81,MOVIMENTACOES!E:E,"Saída")</f>
        <v>13</v>
      </c>
      <c r="G81" s="168">
        <f t="shared" si="1"/>
        <v>0</v>
      </c>
      <c r="H81" s="169" t="str">
        <f t="shared" si="2"/>
        <v>Faltando</v>
      </c>
      <c r="I81" s="170" t="str">
        <f>VLOOKUP(A81, PRODUTOS!A:H, 3, FALSE)</f>
        <v>SIGBP</v>
      </c>
    </row>
    <row r="82" ht="20.25" customHeight="1">
      <c r="A82" s="104">
        <v>2.0003653E8</v>
      </c>
      <c r="B82" s="20" t="str">
        <f>VLOOKUP(A82,produto,2,0)</f>
        <v>ODORIZADOR DE AMBIENTE AEROSOL DE 400ML</v>
      </c>
      <c r="C82" s="8" t="str">
        <f>IFERROR(VLOOKUP(A82,PRODUTOS!A:E,5,FALSE), "Categoria não encontrada")</f>
        <v>LIMPEZA</v>
      </c>
      <c r="D82" s="166" t="str">
        <f>IFERROR(VLOOKUP(A82,PRODUTOS!A:E,4,FALSE), "Categoria não encontrada")</f>
        <v>UN</v>
      </c>
      <c r="E82" s="167">
        <f>SUMIFS(MOVIMENTACOES!F:F,MOVIMENTACOES!C:C,A82,MOVIMENTACOES!E:E,"Entrada")</f>
        <v>1</v>
      </c>
      <c r="F82" s="167">
        <f>SUMIFS(MOVIMENTACOES!F:F,MOVIMENTACOES!C:C,A82,MOVIMENTACOES!E:E,"Saída")</f>
        <v>1</v>
      </c>
      <c r="G82" s="168">
        <f t="shared" si="1"/>
        <v>0</v>
      </c>
      <c r="H82" s="169" t="str">
        <f t="shared" si="2"/>
        <v>Faltando</v>
      </c>
      <c r="I82" s="170" t="str">
        <f>VLOOKUP(A82, PRODUTOS!A:H, 3, FALSE)</f>
        <v>SIGBP</v>
      </c>
    </row>
    <row r="83" ht="20.25" customHeight="1">
      <c r="A83" s="171">
        <v>2.00000022E8</v>
      </c>
      <c r="B83" s="20" t="str">
        <f>VLOOKUP(A83,produto,2,0)</f>
        <v>VELCRO FEMEA 50mm AZUL R V443</v>
      </c>
      <c r="C83" s="8" t="str">
        <f>IFERROR(VLOOKUP(A83,PRODUTOS!A:E,5,FALSE), "Categoria não encontrada")</f>
        <v>MATERIAL T.O</v>
      </c>
      <c r="D83" s="166" t="str">
        <f>IFERROR(VLOOKUP(A83,PRODUTOS!A:E,4,FALSE), "Categoria não encontrada")</f>
        <v>UN</v>
      </c>
      <c r="E83" s="166">
        <f>SUMIFS(MOVIMENTACOES!F:F,MOVIMENTACOES!C:C,A83,MOVIMENTACOES!E:E,"Entrada")</f>
        <v>1</v>
      </c>
      <c r="F83" s="166">
        <f>SUMIFS(MOVIMENTACOES!F:F,MOVIMENTACOES!C:C,A83,MOVIMENTACOES!E:E,"Saída")</f>
        <v>1</v>
      </c>
      <c r="G83" s="168">
        <f t="shared" si="1"/>
        <v>0</v>
      </c>
      <c r="H83" s="169" t="str">
        <f t="shared" si="2"/>
        <v>Faltando</v>
      </c>
      <c r="I83" s="170" t="str">
        <f>VLOOKUP(A83, PRODUTOS!A:H, 3, FALSE)</f>
        <v>SIGBP</v>
      </c>
    </row>
    <row r="84" ht="20.25" customHeight="1">
      <c r="A84" s="36">
        <v>2.00000063E8</v>
      </c>
      <c r="B84" s="20" t="str">
        <f>VLOOKUP(A84,produto,2,0)</f>
        <v>VELCRO FEMEA 50mm PRETO V330</v>
      </c>
      <c r="C84" s="8" t="str">
        <f>IFERROR(VLOOKUP(A84,PRODUTOS!A:E,5,FALSE), "Categoria não encontrada")</f>
        <v>MATERIAL T.O</v>
      </c>
      <c r="D84" s="166" t="str">
        <f>IFERROR(VLOOKUP(A84,PRODUTOS!A:E,4,FALSE), "Categoria não encontrada")</f>
        <v>UN</v>
      </c>
      <c r="E84" s="166">
        <f>SUMIFS(MOVIMENTACOES!F:F,MOVIMENTACOES!C:C,A84,MOVIMENTACOES!E:E,"Entrada")</f>
        <v>2</v>
      </c>
      <c r="F84" s="166">
        <f>SUMIFS(MOVIMENTACOES!F:F,MOVIMENTACOES!C:C,A84,MOVIMENTACOES!E:E,"Saída")</f>
        <v>2</v>
      </c>
      <c r="G84" s="168">
        <f t="shared" si="1"/>
        <v>0</v>
      </c>
      <c r="H84" s="169" t="str">
        <f t="shared" si="2"/>
        <v>Faltando</v>
      </c>
      <c r="I84" s="170" t="str">
        <f>VLOOKUP(A84, PRODUTOS!A:H, 3, FALSE)</f>
        <v>ARTICULATO</v>
      </c>
    </row>
    <row r="85" ht="20.25" customHeight="1">
      <c r="A85" s="36">
        <v>2.00000048E8</v>
      </c>
      <c r="B85" s="20" t="str">
        <f>VLOOKUP(A85,produto,2,0)</f>
        <v>ORFICAST BLACK 300cm x 3cm FITA TERMOPLASTICA</v>
      </c>
      <c r="C85" s="8" t="str">
        <f>IFERROR(VLOOKUP(A85,PRODUTOS!A:E,5,FALSE), "Categoria não encontrada")</f>
        <v>MATERIAL T.O</v>
      </c>
      <c r="D85" s="166" t="str">
        <f>IFERROR(VLOOKUP(A85,PRODUTOS!A:E,4,FALSE), "Categoria não encontrada")</f>
        <v>UN</v>
      </c>
      <c r="E85" s="166">
        <f>SUMIFS(MOVIMENTACOES!F:F,MOVIMENTACOES!C:C,A85,MOVIMENTACOES!E:E,"Entrada")</f>
        <v>2</v>
      </c>
      <c r="F85" s="166">
        <f>SUMIFS(MOVIMENTACOES!F:F,MOVIMENTACOES!C:C,A85,MOVIMENTACOES!E:E,"Saída")</f>
        <v>2</v>
      </c>
      <c r="G85" s="168">
        <f t="shared" si="1"/>
        <v>0</v>
      </c>
      <c r="H85" s="169" t="str">
        <f t="shared" si="2"/>
        <v>Faltando</v>
      </c>
      <c r="I85" s="170" t="str">
        <f>VLOOKUP(A85, PRODUTOS!A:H, 3, FALSE)</f>
        <v>EFECTIV</v>
      </c>
    </row>
    <row r="86" ht="19.5" customHeight="1">
      <c r="A86" s="36">
        <v>2.00000049E8</v>
      </c>
      <c r="B86" s="20" t="str">
        <f>VLOOKUP(A86,produto,2,0)</f>
        <v>ORFICAST MORE (DUPLA CAMADA) BLACK 300cm x 15cm FITA TERMOPLASTICA</v>
      </c>
      <c r="C86" s="8" t="str">
        <f>IFERROR(VLOOKUP(A86,PRODUTOS!A:E,5,FALSE), "Categoria não encontrada")</f>
        <v>MATERIAL T.O</v>
      </c>
      <c r="D86" s="166" t="str">
        <f>IFERROR(VLOOKUP(A86,PRODUTOS!A:E,4,FALSE), "Categoria não encontrada")</f>
        <v>UN</v>
      </c>
      <c r="E86" s="166">
        <f>SUMIFS(MOVIMENTACOES!F:F,MOVIMENTACOES!C:C,A86,MOVIMENTACOES!E:E,"Entrada")</f>
        <v>1</v>
      </c>
      <c r="F86" s="166">
        <f>SUMIFS(MOVIMENTACOES!F:F,MOVIMENTACOES!C:C,A86,MOVIMENTACOES!E:E,"Saída")</f>
        <v>1</v>
      </c>
      <c r="G86" s="168">
        <f t="shared" si="1"/>
        <v>0</v>
      </c>
      <c r="H86" s="169" t="str">
        <f t="shared" si="2"/>
        <v>Faltando</v>
      </c>
      <c r="I86" s="170" t="str">
        <f>VLOOKUP(A86, PRODUTOS!A:H, 3, FALSE)</f>
        <v>EFECTIV</v>
      </c>
    </row>
    <row r="87" ht="20.25" customHeight="1">
      <c r="A87" s="171">
        <v>2.00000024E8</v>
      </c>
      <c r="B87" s="20" t="str">
        <f>VLOOKUP(A87,produto,2,0)</f>
        <v>PLACA TERMOPLASTICA -  ORFIT ECO BLACK NS 45 x 60cm x 2.4 mm </v>
      </c>
      <c r="C87" s="8" t="str">
        <f>IFERROR(VLOOKUP(A87,PRODUTOS!A:E,5,FALSE), "Categoria não encontrada")</f>
        <v>MATERIAL T.O</v>
      </c>
      <c r="D87" s="166" t="str">
        <f>IFERROR(VLOOKUP(A87,PRODUTOS!A:E,4,FALSE), "Categoria não encontrada")</f>
        <v>UN</v>
      </c>
      <c r="E87" s="166">
        <f>SUMIFS(MOVIMENTACOES!F:F,MOVIMENTACOES!C:C,A87,MOVIMENTACOES!E:E,"Entrada")</f>
        <v>3</v>
      </c>
      <c r="F87" s="166">
        <f>SUMIFS(MOVIMENTACOES!F:F,MOVIMENTACOES!C:C,A87,MOVIMENTACOES!E:E,"Saída")</f>
        <v>3</v>
      </c>
      <c r="G87" s="168">
        <f t="shared" si="1"/>
        <v>0</v>
      </c>
      <c r="H87" s="169" t="str">
        <f t="shared" si="2"/>
        <v>Faltando</v>
      </c>
      <c r="I87" s="170" t="str">
        <f>VLOOKUP(A87, PRODUTOS!A:H, 3, FALSE)</f>
        <v>EFECTIV</v>
      </c>
    </row>
    <row r="88" ht="20.25" customHeight="1">
      <c r="A88" s="36">
        <v>2.00000056E8</v>
      </c>
      <c r="B88" s="20" t="str">
        <f>VLOOKUP(A88,produto,2,0)</f>
        <v>TESOURA /P CORTE TERMOPLASTICO FRIO</v>
      </c>
      <c r="C88" s="8" t="str">
        <f>IFERROR(VLOOKUP(A88,PRODUTOS!A:E,5,FALSE), "Categoria não encontrada")</f>
        <v>MATERIAL T.O</v>
      </c>
      <c r="D88" s="166" t="str">
        <f>IFERROR(VLOOKUP(A88,PRODUTOS!A:E,4,FALSE), "Categoria não encontrada")</f>
        <v>UN</v>
      </c>
      <c r="E88" s="166">
        <f>SUMIFS(MOVIMENTACOES!F:F,MOVIMENTACOES!C:C,A88,MOVIMENTACOES!E:E,"Entrada")</f>
        <v>1</v>
      </c>
      <c r="F88" s="166">
        <f>SUMIFS(MOVIMENTACOES!F:F,MOVIMENTACOES!C:C,A88,MOVIMENTACOES!E:E,"Saída")</f>
        <v>1</v>
      </c>
      <c r="G88" s="168">
        <f t="shared" si="1"/>
        <v>0</v>
      </c>
      <c r="H88" s="169" t="str">
        <f t="shared" si="2"/>
        <v>Faltando</v>
      </c>
      <c r="I88" s="170" t="str">
        <f>VLOOKUP(A88, PRODUTOS!A:H, 3, FALSE)</f>
        <v>ARTICULATO</v>
      </c>
    </row>
    <row r="89" ht="20.25" customHeight="1">
      <c r="A89" s="171">
        <v>2.00077416E8</v>
      </c>
      <c r="B89" s="20" t="str">
        <f>VLOOKUP(A89,produto,2,0)</f>
        <v>COLA SPRAY PERMANENTE DE 500ML/330G</v>
      </c>
      <c r="C89" s="8" t="str">
        <f>IFERROR(VLOOKUP(A89,PRODUTOS!A:E,5,FALSE), "Categoria não encontrada")</f>
        <v>OFICINA</v>
      </c>
      <c r="D89" s="166" t="str">
        <f>IFERROR(VLOOKUP(A89,PRODUTOS!A:E,4,FALSE), "Categoria não encontrada")</f>
        <v>PCT</v>
      </c>
      <c r="E89" s="167">
        <f>SUMIFS(MOVIMENTACOES!F:F,MOVIMENTACOES!C:C,A89,MOVIMENTACOES!E:E,"Entrada")</f>
        <v>4</v>
      </c>
      <c r="F89" s="167">
        <f>SUMIFS(MOVIMENTACOES!F:F,MOVIMENTACOES!C:C,A89,MOVIMENTACOES!E:E,"Saída")</f>
        <v>4</v>
      </c>
      <c r="G89" s="168">
        <f t="shared" si="1"/>
        <v>0</v>
      </c>
      <c r="H89" s="169" t="str">
        <f t="shared" si="2"/>
        <v>Faltando</v>
      </c>
      <c r="I89" s="170" t="str">
        <f>VLOOKUP(A89, PRODUTOS!A:H, 3, FALSE)</f>
        <v>SIGBP</v>
      </c>
    </row>
    <row r="90" ht="20.25" customHeight="1">
      <c r="A90" s="171">
        <v>2.00043608E8</v>
      </c>
      <c r="B90" s="20" t="str">
        <f>VLOOKUP(A90,produto,2,0)</f>
        <v>CORDÃO RABO DE RATO Nº5/3 COM 50M</v>
      </c>
      <c r="C90" s="8" t="str">
        <f>IFERROR(VLOOKUP(A90,PRODUTOS!A:E,5,FALSE), "Categoria não encontrada")</f>
        <v>OFICINA</v>
      </c>
      <c r="D90" s="166" t="str">
        <f>IFERROR(VLOOKUP(A90,PRODUTOS!A:E,4,FALSE), "Categoria não encontrada")</f>
        <v>RL</v>
      </c>
      <c r="E90" s="166">
        <f>SUMIFS(MOVIMENTACOES!F:F,MOVIMENTACOES!C:C,A90,MOVIMENTACOES!E:E,"Entrada")</f>
        <v>1</v>
      </c>
      <c r="F90" s="166">
        <f>SUMIFS(MOVIMENTACOES!F:F,MOVIMENTACOES!C:C,A90,MOVIMENTACOES!E:E,"Saída")</f>
        <v>1</v>
      </c>
      <c r="G90" s="168">
        <f t="shared" si="1"/>
        <v>0</v>
      </c>
      <c r="H90" s="169" t="str">
        <f t="shared" si="2"/>
        <v>Faltando</v>
      </c>
      <c r="I90" s="170" t="str">
        <f>VLOOKUP(A90, PRODUTOS!A:H, 3, FALSE)</f>
        <v>SIGBP</v>
      </c>
    </row>
    <row r="91" ht="20.25" customHeight="1">
      <c r="A91" s="104">
        <v>2.00001032E8</v>
      </c>
      <c r="B91" s="20" t="str">
        <f>VLOOKUP(A91,produto,2,0)</f>
        <v>FILME DE PVC TRANSPARENTE 28X30
7'898927'947217</v>
      </c>
      <c r="C91" s="8" t="str">
        <f>IFERROR(VLOOKUP(A91,PRODUTOS!A:E,5,FALSE), "Categoria não encontrada")</f>
        <v>OFICINA</v>
      </c>
      <c r="D91" s="166" t="str">
        <f>IFERROR(VLOOKUP(A91,PRODUTOS!A:E,4,FALSE), "Categoria não encontrada")</f>
        <v>CX</v>
      </c>
      <c r="E91" s="167">
        <f>SUMIFS(MOVIMENTACOES!F:F,MOVIMENTACOES!C:C,A91,MOVIMENTACOES!E:E,"Entrada")</f>
        <v>4</v>
      </c>
      <c r="F91" s="167">
        <f>SUMIFS(MOVIMENTACOES!F:F,MOVIMENTACOES!C:C,A91,MOVIMENTACOES!E:E,"Saída")</f>
        <v>4</v>
      </c>
      <c r="G91" s="168">
        <f t="shared" si="1"/>
        <v>0</v>
      </c>
      <c r="H91" s="169" t="str">
        <f t="shared" si="2"/>
        <v>Faltando</v>
      </c>
      <c r="I91" s="170" t="str">
        <f>VLOOKUP(A91, PRODUTOS!A:H, 3, FALSE)</f>
        <v>SIGBP</v>
      </c>
    </row>
    <row r="92" ht="20.25" customHeight="1">
      <c r="A92" s="104">
        <v>2.00086234E8</v>
      </c>
      <c r="B92" s="20" t="str">
        <f>VLOOKUP(A92,produto,2,0)</f>
        <v>PAQUIMETRO PALSTICO</v>
      </c>
      <c r="C92" s="8" t="str">
        <f>IFERROR(VLOOKUP(A92,PRODUTOS!A:E,5,FALSE), "Categoria não encontrada")</f>
        <v>OFICINA</v>
      </c>
      <c r="D92" s="166" t="str">
        <f>IFERROR(VLOOKUP(A92,PRODUTOS!A:E,4,FALSE), "Categoria não encontrada")</f>
        <v>UN</v>
      </c>
      <c r="E92" s="167">
        <f>SUMIFS(MOVIMENTACOES!F:F,MOVIMENTACOES!C:C,A92,MOVIMENTACOES!E:E,"Entrada")</f>
        <v>2</v>
      </c>
      <c r="F92" s="167">
        <f>SUMIFS(MOVIMENTACOES!F:F,MOVIMENTACOES!C:C,A92,MOVIMENTACOES!E:E,"Saída")</f>
        <v>2</v>
      </c>
      <c r="G92" s="168">
        <f t="shared" si="1"/>
        <v>0</v>
      </c>
      <c r="H92" s="169" t="str">
        <f t="shared" si="2"/>
        <v>Faltando</v>
      </c>
      <c r="I92" s="170" t="str">
        <f>VLOOKUP(A92, PRODUTOS!A:H, 3, FALSE)</f>
        <v>SIGBP</v>
      </c>
    </row>
    <row r="93" ht="20.25" customHeight="1">
      <c r="A93" s="36">
        <v>2.00000041E8</v>
      </c>
      <c r="B93" s="20" t="str">
        <f>VLOOKUP(A93,produto,2,0)</f>
        <v>ATADURA GESSADA 20cm x 3m, cx com 20 und</v>
      </c>
      <c r="C93" s="8" t="str">
        <f>IFERROR(VLOOKUP(A93,PRODUTOS!A:E,5,FALSE), "Categoria não encontrada")</f>
        <v>ORTESES E PROTESES</v>
      </c>
      <c r="D93" s="166" t="str">
        <f>IFERROR(VLOOKUP(A93,PRODUTOS!A:E,4,FALSE), "Categoria não encontrada")</f>
        <v>CX</v>
      </c>
      <c r="E93" s="166">
        <f>SUMIFS(MOVIMENTACOES!F:F,MOVIMENTACOES!C:C,A93,MOVIMENTACOES!E:E,"Entrada")</f>
        <v>1</v>
      </c>
      <c r="F93" s="166">
        <f>SUMIFS(MOVIMENTACOES!F:F,MOVIMENTACOES!C:C,A93,MOVIMENTACOES!E:E,"Saída")</f>
        <v>1</v>
      </c>
      <c r="G93" s="168">
        <f t="shared" si="1"/>
        <v>0</v>
      </c>
      <c r="H93" s="169" t="str">
        <f t="shared" si="2"/>
        <v>Faltando</v>
      </c>
      <c r="I93" s="173" t="s">
        <v>27</v>
      </c>
    </row>
    <row r="94" ht="20.25" customHeight="1">
      <c r="A94" s="36">
        <v>2.00000096E8</v>
      </c>
      <c r="B94" s="20" t="str">
        <f>VLOOKUP(A94,produto,2,0)</f>
        <v>RESINA RIGIDA PARA LAMINAÇÃO</v>
      </c>
      <c r="C94" s="8" t="str">
        <f>IFERROR(VLOOKUP(A94,PRODUTOS!A:E,5,FALSE), "Categoria não encontrada")</f>
        <v>ORTESES E PROTESES</v>
      </c>
      <c r="D94" s="166" t="str">
        <f>IFERROR(VLOOKUP(A94,PRODUTOS!A:E,4,FALSE), "Categoria não encontrada")</f>
        <v>UN</v>
      </c>
      <c r="E94" s="166">
        <f>SUMIFS(MOVIMENTACOES!F:F,MOVIMENTACOES!C:C,A94,MOVIMENTACOES!E:E,"Entrada")</f>
        <v>2</v>
      </c>
      <c r="F94" s="166">
        <f>SUMIFS(MOVIMENTACOES!F:F,MOVIMENTACOES!C:C,A94,MOVIMENTACOES!E:E,"Saída")</f>
        <v>2</v>
      </c>
      <c r="G94" s="168">
        <f t="shared" si="1"/>
        <v>0</v>
      </c>
      <c r="H94" s="169" t="str">
        <f t="shared" si="2"/>
        <v>Faltando</v>
      </c>
      <c r="I94" s="170" t="str">
        <f>VLOOKUP(A94, PRODUTOS!A:H, 3, FALSE)</f>
        <v>SES - Secretaria de Estado da Saude</v>
      </c>
    </row>
    <row r="95" ht="20.25" customHeight="1">
      <c r="A95" s="171">
        <v>2.00000076E8</v>
      </c>
      <c r="B95" s="20" t="str">
        <f>VLOOKUP(A95,produto,2,0)</f>
        <v>Courvin Sintetico Reforçado C/ Nylon - Cor Bege</v>
      </c>
      <c r="C95" s="8" t="str">
        <f>IFERROR(VLOOKUP(A95,PRODUTOS!A:E,5,FALSE), "Categoria não encontrada")</f>
        <v>OFICINA</v>
      </c>
      <c r="D95" s="166" t="str">
        <f>IFERROR(VLOOKUP(A95,PRODUTOS!A:E,4,FALSE), "Categoria não encontrada")</f>
        <v>UN</v>
      </c>
      <c r="E95" s="166">
        <f>SUMIFS(MOVIMENTACOES!F:F,MOVIMENTACOES!C:C,A95,MOVIMENTACOES!E:E,"Entrada")</f>
        <v>5</v>
      </c>
      <c r="F95" s="166">
        <f>SUMIFS(MOVIMENTACOES!F:F,MOVIMENTACOES!C:C,A95,MOVIMENTACOES!E:E,"Saída")</f>
        <v>5</v>
      </c>
      <c r="G95" s="168">
        <f t="shared" si="1"/>
        <v>0</v>
      </c>
      <c r="H95" s="169" t="str">
        <f t="shared" si="2"/>
        <v>Faltando</v>
      </c>
      <c r="I95" s="170" t="str">
        <f>VLOOKUP(A95, PRODUTOS!A:H, 3, FALSE)</f>
        <v/>
      </c>
    </row>
    <row r="96" ht="20.25" customHeight="1">
      <c r="A96" s="179">
        <v>4.99106017E8</v>
      </c>
      <c r="B96" s="20" t="str">
        <f>VLOOKUP(A96,produto,2,0)</f>
        <v>CJ PEDAL ELEV. ADULTO DIR. K2/K3</v>
      </c>
      <c r="C96" s="8" t="str">
        <f>IFERROR(VLOOKUP(A96,PRODUTOS!A:E,5,FALSE), "Categoria não encontrada")</f>
        <v>OPM Auxiliares de Locomoção</v>
      </c>
      <c r="D96" s="166" t="str">
        <f>IFERROR(VLOOKUP(A96,PRODUTOS!A:E,4,FALSE), "Categoria não encontrada")</f>
        <v>UN</v>
      </c>
      <c r="E96" s="166">
        <f>SUMIFS(MOVIMENTACOES!F:F,MOVIMENTACOES!C:C,A96,MOVIMENTACOES!E:E,"Entrada")</f>
        <v>0</v>
      </c>
      <c r="F96" s="166">
        <f>SUMIFS(MOVIMENTACOES!F:F,MOVIMENTACOES!C:C,A96,MOVIMENTACOES!E:E,"Saída")</f>
        <v>0</v>
      </c>
      <c r="G96" s="168">
        <f t="shared" si="1"/>
        <v>0</v>
      </c>
      <c r="H96" s="169" t="str">
        <f t="shared" si="2"/>
        <v>Faltando</v>
      </c>
      <c r="I96" s="170" t="str">
        <f>VLOOKUP(A96, PRODUTOS!A:H, 3, FALSE)</f>
        <v>ORTOBRAS</v>
      </c>
    </row>
    <row r="97" ht="20.25" customHeight="1">
      <c r="A97" s="179">
        <v>4.99106018E8</v>
      </c>
      <c r="B97" s="20" t="str">
        <f>VLOOKUP(A97,produto,2,0)</f>
        <v>CJ PEDAL ELEV. ADULTO ESQ. K2/K3</v>
      </c>
      <c r="C97" s="8" t="str">
        <f>IFERROR(VLOOKUP(A97,PRODUTOS!A:E,5,FALSE), "Categoria não encontrada")</f>
        <v>OPM Auxiliares de Locomoção</v>
      </c>
      <c r="D97" s="166" t="str">
        <f>IFERROR(VLOOKUP(A97,PRODUTOS!A:E,4,FALSE), "Categoria não encontrada")</f>
        <v>UN</v>
      </c>
      <c r="E97" s="166">
        <f>SUMIFS(MOVIMENTACOES!F:F,MOVIMENTACOES!C:C,A97,MOVIMENTACOES!E:E,"Entrada")</f>
        <v>0</v>
      </c>
      <c r="F97" s="166">
        <f>SUMIFS(MOVIMENTACOES!F:F,MOVIMENTACOES!C:C,A97,MOVIMENTACOES!E:E,"Saída")</f>
        <v>0</v>
      </c>
      <c r="G97" s="168">
        <f t="shared" si="1"/>
        <v>0</v>
      </c>
      <c r="H97" s="169" t="str">
        <f t="shared" si="2"/>
        <v>Faltando</v>
      </c>
      <c r="I97" s="170" t="str">
        <f>VLOOKUP(A97, PRODUTOS!A:H, 3, FALSE)</f>
        <v>ORTOBRAS</v>
      </c>
    </row>
    <row r="98" ht="20.25" customHeight="1">
      <c r="A98" s="175" t="s">
        <v>327</v>
      </c>
      <c r="B98" s="20" t="str">
        <f>VLOOKUP(A98,produto,2,0)</f>
        <v>CJ APOIO CABECA L33 AI</v>
      </c>
      <c r="C98" s="8" t="str">
        <f>IFERROR(VLOOKUP(A98,PRODUTOS!A:E,5,FALSE), "Categoria não encontrada")</f>
        <v>OPM Auxiliares de Locomoção</v>
      </c>
      <c r="D98" s="166" t="str">
        <f>IFERROR(VLOOKUP(A98,PRODUTOS!A:E,4,FALSE), "Categoria não encontrada")</f>
        <v>UN</v>
      </c>
      <c r="E98" s="166">
        <f>SUMIFS(MOVIMENTACOES!F:F,MOVIMENTACOES!C:C,A98,MOVIMENTACOES!E:E,"Entrada")</f>
        <v>1</v>
      </c>
      <c r="F98" s="166">
        <f>SUMIFS(MOVIMENTACOES!F:F,MOVIMENTACOES!C:C,A98,MOVIMENTACOES!E:E,"Saída")</f>
        <v>1</v>
      </c>
      <c r="G98" s="168">
        <f t="shared" si="1"/>
        <v>0</v>
      </c>
      <c r="H98" s="169" t="str">
        <f t="shared" si="2"/>
        <v>Faltando</v>
      </c>
      <c r="I98" s="170" t="str">
        <f>VLOOKUP(A98, PRODUTOS!A:H, 3, FALSE)</f>
        <v>ORTOBRAS</v>
      </c>
    </row>
    <row r="99" ht="20.25" customHeight="1">
      <c r="A99" s="104" t="s">
        <v>514</v>
      </c>
      <c r="B99" s="20" t="str">
        <f>VLOOKUP(A99,produto,2,0)</f>
        <v>TESOURA USO GERAL 8,0</v>
      </c>
      <c r="C99" s="8" t="str">
        <f>IFERROR(VLOOKUP(A99,PRODUTOS!A:E,5,FALSE), "Categoria não encontrada")</f>
        <v>TAPEÇARIA</v>
      </c>
      <c r="D99" s="166" t="str">
        <f>IFERROR(VLOOKUP(A99,PRODUTOS!A:E,4,FALSE), "Categoria não encontrada")</f>
        <v>UN</v>
      </c>
      <c r="E99" s="167">
        <f>SUMIFS(MOVIMENTACOES!F:F,MOVIMENTACOES!C:C,A99,MOVIMENTACOES!E:E,"Entrada")</f>
        <v>2</v>
      </c>
      <c r="F99" s="167">
        <f>SUMIFS(MOVIMENTACOES!F:F,MOVIMENTACOES!C:C,A99,MOVIMENTACOES!E:E,"Saída")</f>
        <v>2</v>
      </c>
      <c r="G99" s="168">
        <f t="shared" si="1"/>
        <v>0</v>
      </c>
      <c r="H99" s="169" t="str">
        <f t="shared" si="2"/>
        <v>Faltando</v>
      </c>
      <c r="I99" s="170" t="str">
        <f>VLOOKUP(A99, PRODUTOS!A:H, 3, FALSE)</f>
        <v>SIGBP</v>
      </c>
    </row>
    <row r="100" ht="20.25" customHeight="1">
      <c r="A100" s="104" t="s">
        <v>498</v>
      </c>
      <c r="B100" s="20" t="str">
        <f>VLOOKUP(A100,produto,2,0)</f>
        <v>Tesoura de Costura Industrial Reforçada 1470-8 Practical 8" Cinza Mundial</v>
      </c>
      <c r="C100" s="8" t="str">
        <f>IFERROR(VLOOKUP(A100,PRODUTOS!A:E,5,FALSE), "Categoria não encontrada")</f>
        <v>TAPEÇARIA</v>
      </c>
      <c r="D100" s="166" t="str">
        <f>IFERROR(VLOOKUP(A100,PRODUTOS!A:E,4,FALSE), "Categoria não encontrada")</f>
        <v>UN</v>
      </c>
      <c r="E100" s="167">
        <f>SUMIFS(MOVIMENTACOES!F:F,MOVIMENTACOES!C:C,A100,MOVIMENTACOES!E:E,"Entrada")</f>
        <v>3</v>
      </c>
      <c r="F100" s="167">
        <f>SUMIFS(MOVIMENTACOES!F:F,MOVIMENTACOES!C:C,A100,MOVIMENTACOES!E:E,"Saída")</f>
        <v>3</v>
      </c>
      <c r="G100" s="168">
        <f t="shared" si="1"/>
        <v>0</v>
      </c>
      <c r="H100" s="169" t="str">
        <f t="shared" si="2"/>
        <v>Faltando</v>
      </c>
      <c r="I100" s="170" t="str">
        <f>VLOOKUP(A100, PRODUTOS!A:H, 3, FALSE)</f>
        <v>SIGBP</v>
      </c>
    </row>
    <row r="101" ht="20.25" customHeight="1">
      <c r="A101" s="104">
        <v>2.00037867E8</v>
      </c>
      <c r="B101" s="20" t="str">
        <f>VLOOKUP(A101,produto,2,0)</f>
        <v>TESOURA MULTIUSO CABO PLASTICO LAMINA EM AÇO INOX 21CM</v>
      </c>
      <c r="C101" s="8" t="str">
        <f>IFERROR(VLOOKUP(A101,PRODUTOS!A:E,5,FALSE), "Categoria não encontrada")</f>
        <v>TAPEÇARIA</v>
      </c>
      <c r="D101" s="166" t="str">
        <f>IFERROR(VLOOKUP(A101,PRODUTOS!A:E,4,FALSE), "Categoria não encontrada")</f>
        <v>UN</v>
      </c>
      <c r="E101" s="167">
        <f>SUMIFS(MOVIMENTACOES!F:F,MOVIMENTACOES!C:C,A101,MOVIMENTACOES!E:E,"Entrada")</f>
        <v>1</v>
      </c>
      <c r="F101" s="167">
        <f>SUMIFS(MOVIMENTACOES!F:F,MOVIMENTACOES!C:C,A101,MOVIMENTACOES!E:E,"Saída")</f>
        <v>1</v>
      </c>
      <c r="G101" s="168">
        <f t="shared" si="1"/>
        <v>0</v>
      </c>
      <c r="H101" s="169" t="str">
        <f t="shared" si="2"/>
        <v>Faltando</v>
      </c>
      <c r="I101" s="170" t="str">
        <f>VLOOKUP(A101, PRODUTOS!A:H, 3, FALSE)</f>
        <v>SIGBP</v>
      </c>
    </row>
    <row r="102" ht="20.25" customHeight="1">
      <c r="A102" s="104">
        <v>2.00000001E8</v>
      </c>
      <c r="B102" s="20" t="str">
        <f>VLOOKUP(A102,produto,2,0)</f>
        <v>LIXA D'AGUA 150</v>
      </c>
      <c r="C102" s="8" t="str">
        <f>IFERROR(VLOOKUP(A102,PRODUTOS!A:E,5,FALSE), "Categoria não encontrada")</f>
        <v>CONSUMO</v>
      </c>
      <c r="D102" s="166" t="str">
        <f>IFERROR(VLOOKUP(A102,PRODUTOS!A:E,4,FALSE), "Categoria não encontrada")</f>
        <v>UN</v>
      </c>
      <c r="E102" s="166">
        <f>SUMIFS(MOVIMENTACOES!F:F,MOVIMENTACOES!C:C,A102,MOVIMENTACOES!E:E,"Entrada")</f>
        <v>400</v>
      </c>
      <c r="F102" s="167">
        <f>SUMIFS(MOVIMENTACOES!F:F,MOVIMENTACOES!C:C,A102,MOVIMENTACOES!E:E,"Saída")</f>
        <v>150</v>
      </c>
      <c r="G102" s="168">
        <f t="shared" si="1"/>
        <v>250</v>
      </c>
      <c r="H102" s="169" t="str">
        <f t="shared" si="2"/>
        <v>OK</v>
      </c>
      <c r="I102" s="170" t="str">
        <f>VLOOKUP(A102, PRODUTOS!A:H, 3, FALSE)</f>
        <v>CORDEIRO MAQUINAS E FERRAMENTAS</v>
      </c>
    </row>
    <row r="103" ht="20.25" customHeight="1">
      <c r="A103" s="28">
        <v>2.00007285E8</v>
      </c>
      <c r="B103" s="20" t="str">
        <f>VLOOKUP(A103,produto,2,0)</f>
        <v>LIXA D'MADEIRA 120</v>
      </c>
      <c r="C103" s="8" t="str">
        <f>IFERROR(VLOOKUP(A103,PRODUTOS!A:E,5,FALSE), "Categoria não encontrada")</f>
        <v>CONSUMO</v>
      </c>
      <c r="D103" s="166" t="str">
        <f>IFERROR(VLOOKUP(A103,PRODUTOS!A:E,4,FALSE), "Categoria não encontrada")</f>
        <v>UN</v>
      </c>
      <c r="E103" s="166">
        <f>SUMIFS(MOVIMENTACOES!F:F,MOVIMENTACOES!C:C,A103,MOVIMENTACOES!E:E,"Entrada")</f>
        <v>350</v>
      </c>
      <c r="F103" s="167">
        <f>SUMIFS(MOVIMENTACOES!F:F,MOVIMENTACOES!C:C,A103,MOVIMENTACOES!E:E,"Saída")</f>
        <v>100</v>
      </c>
      <c r="G103" s="168">
        <f t="shared" si="1"/>
        <v>250</v>
      </c>
      <c r="H103" s="169" t="str">
        <f t="shared" si="2"/>
        <v>OK</v>
      </c>
      <c r="I103" s="170" t="str">
        <f>VLOOKUP(A103, PRODUTOS!A:H, 3, FALSE)</f>
        <v>CORDEIRO MAQUINAS E FERRAMENTAS</v>
      </c>
    </row>
    <row r="104" ht="20.25" customHeight="1">
      <c r="A104" s="28">
        <v>2.000027E8</v>
      </c>
      <c r="B104" s="20" t="str">
        <f>VLOOKUP(A104,produto,2,0)</f>
        <v>THINNER / LIMPEZA E ACABAMENTO 900ML</v>
      </c>
      <c r="C104" s="8" t="str">
        <f>IFERROR(VLOOKUP(A104,PRODUTOS!A:E,5,FALSE), "Categoria não encontrada")</f>
        <v>CONSUMO</v>
      </c>
      <c r="D104" s="166" t="str">
        <f>IFERROR(VLOOKUP(A104,PRODUTOS!A:E,4,FALSE), "Categoria não encontrada")</f>
        <v>UN</v>
      </c>
      <c r="E104" s="166">
        <f>SUMIFS(MOVIMENTACOES!F:F,MOVIMENTACOES!C:C,A104,MOVIMENTACOES!E:E,"Entrada")</f>
        <v>50</v>
      </c>
      <c r="F104" s="167">
        <f>SUMIFS(MOVIMENTACOES!F:F,MOVIMENTACOES!C:C,A104,MOVIMENTACOES!E:E,"Saída")</f>
        <v>3</v>
      </c>
      <c r="G104" s="168">
        <f t="shared" si="1"/>
        <v>47</v>
      </c>
      <c r="H104" s="169" t="str">
        <f t="shared" si="2"/>
        <v>OK</v>
      </c>
      <c r="I104" s="170" t="str">
        <f>VLOOKUP(A104, PRODUTOS!A:H, 3, FALSE)</f>
        <v>CORDEIRO MAQUINAS E FERRAMENTAS</v>
      </c>
    </row>
    <row r="105" ht="20.25" customHeight="1">
      <c r="A105" s="171">
        <v>2.00026827E8</v>
      </c>
      <c r="B105" s="20" t="str">
        <f>VLOOKUP(A105,produto,2,0)</f>
        <v>TRINCHA 3</v>
      </c>
      <c r="C105" s="8" t="str">
        <f>IFERROR(VLOOKUP(A105,PRODUTOS!A:E,5,FALSE), "Categoria não encontrada")</f>
        <v>CONSUMO</v>
      </c>
      <c r="D105" s="166" t="str">
        <f>IFERROR(VLOOKUP(A105,PRODUTOS!A:E,4,FALSE), "Categoria não encontrada")</f>
        <v>UN</v>
      </c>
      <c r="E105" s="166">
        <f>SUMIFS(MOVIMENTACOES!F:F,MOVIMENTACOES!C:C,A105,MOVIMENTACOES!E:E,"Entrada")</f>
        <v>50</v>
      </c>
      <c r="F105" s="167">
        <f>SUMIFS(MOVIMENTACOES!F:F,MOVIMENTACOES!C:C,A105,MOVIMENTACOES!E:E,"Saída")</f>
        <v>3</v>
      </c>
      <c r="G105" s="168">
        <f t="shared" si="1"/>
        <v>47</v>
      </c>
      <c r="H105" s="169" t="str">
        <f t="shared" si="2"/>
        <v>OK</v>
      </c>
      <c r="I105" s="170" t="str">
        <f>VLOOKUP(A105, PRODUTOS!A:H, 3, FALSE)</f>
        <v>CORDEIRO MAQUINAS E FERRAMENTAS</v>
      </c>
    </row>
    <row r="106" ht="20.25" customHeight="1">
      <c r="A106" s="171">
        <v>2.0002429E8</v>
      </c>
      <c r="B106" s="20" t="str">
        <f>VLOOKUP(A106,produto,2,0)</f>
        <v>TRINCHA 3/4 </v>
      </c>
      <c r="C106" s="8" t="str">
        <f>IFERROR(VLOOKUP(A106,PRODUTOS!A:E,5,FALSE), "Categoria não encontrada")</f>
        <v>CONSUMO</v>
      </c>
      <c r="D106" s="166" t="str">
        <f>IFERROR(VLOOKUP(A106,PRODUTOS!A:E,4,FALSE), "Categoria não encontrada")</f>
        <v>UN</v>
      </c>
      <c r="E106" s="166">
        <f>SUMIFS(MOVIMENTACOES!F:F,MOVIMENTACOES!C:C,A106,MOVIMENTACOES!E:E,"Entrada")</f>
        <v>100</v>
      </c>
      <c r="F106" s="167">
        <f>SUMIFS(MOVIMENTACOES!F:F,MOVIMENTACOES!C:C,A106,MOVIMENTACOES!E:E,"Saída")</f>
        <v>10</v>
      </c>
      <c r="G106" s="168">
        <f t="shared" si="1"/>
        <v>90</v>
      </c>
      <c r="H106" s="169" t="str">
        <f t="shared" si="2"/>
        <v>OK</v>
      </c>
      <c r="I106" s="170" t="str">
        <f>VLOOKUP(A106, PRODUTOS!A:H, 3, FALSE)</f>
        <v>CORDEIRO MAQUINAS E FERRAMENTAS</v>
      </c>
    </row>
    <row r="107" ht="20.25" customHeight="1">
      <c r="A107" s="36">
        <v>2.07218574E8</v>
      </c>
      <c r="B107" s="20" t="str">
        <f>VLOOKUP(A107,produto,2,0)</f>
        <v>LUVA EPI ALGODÃO MALHA PIGMENTADA PRETA</v>
      </c>
      <c r="C107" s="8" t="str">
        <f>IFERROR(VLOOKUP(A107,PRODUTOS!A:E,5,FALSE), "Categoria não encontrada")</f>
        <v>EPI</v>
      </c>
      <c r="D107" s="166" t="str">
        <f>IFERROR(VLOOKUP(A107,PRODUTOS!A:E,4,FALSE), "Categoria não encontrada")</f>
        <v>UN</v>
      </c>
      <c r="E107" s="166">
        <f>SUMIFS(MOVIMENTACOES!F:F,MOVIMENTACOES!C:C,A107,MOVIMENTACOES!E:E,"Entrada")</f>
        <v>8</v>
      </c>
      <c r="F107" s="166">
        <f>SUMIFS(MOVIMENTACOES!F:F,MOVIMENTACOES!C:C,A107,MOVIMENTACOES!E:E,"Saída")</f>
        <v>1</v>
      </c>
      <c r="G107" s="168">
        <f t="shared" si="1"/>
        <v>7</v>
      </c>
      <c r="H107" s="169" t="str">
        <f t="shared" si="2"/>
        <v>OK</v>
      </c>
      <c r="I107" s="170" t="str">
        <f>VLOOKUP(A107, PRODUTOS!A:H, 3, FALSE)</f>
        <v>SIGBP</v>
      </c>
    </row>
    <row r="108" ht="20.25" customHeight="1">
      <c r="A108" s="36">
        <v>2.00076172E8</v>
      </c>
      <c r="B108" s="20" t="str">
        <f>VLOOKUP(A108,produto,2,0)</f>
        <v>LUVA DE VINIL G(9) COM 100 UND</v>
      </c>
      <c r="C108" s="8" t="str">
        <f>IFERROR(VLOOKUP(A108,PRODUTOS!A:E,5,FALSE), "Categoria não encontrada")</f>
        <v>EPI</v>
      </c>
      <c r="D108" s="166" t="str">
        <f>IFERROR(VLOOKUP(A108,PRODUTOS!A:E,4,FALSE), "Categoria não encontrada")</f>
        <v>UN</v>
      </c>
      <c r="E108" s="167">
        <f>SUMIFS(MOVIMENTACOES!F:F,MOVIMENTACOES!C:C,A108,MOVIMENTACOES!E:E,"Entrada")</f>
        <v>7</v>
      </c>
      <c r="F108" s="167">
        <f>SUMIFS(MOVIMENTACOES!F:F,MOVIMENTACOES!C:C,A108,MOVIMENTACOES!E:E,"Saída")</f>
        <v>3</v>
      </c>
      <c r="G108" s="168">
        <f t="shared" si="1"/>
        <v>4</v>
      </c>
      <c r="H108" s="169" t="str">
        <f t="shared" si="2"/>
        <v>OK</v>
      </c>
      <c r="I108" s="170" t="str">
        <f>VLOOKUP(A108, PRODUTOS!A:H, 3, FALSE)</f>
        <v>SIGBP</v>
      </c>
    </row>
    <row r="109" ht="20.25" customHeight="1">
      <c r="A109" s="36">
        <v>2.00052413E8</v>
      </c>
      <c r="B109" s="20" t="str">
        <f>VLOOKUP(A109,produto,2,0)</f>
        <v>LUVA LATEX P COM 100 UND</v>
      </c>
      <c r="C109" s="8" t="str">
        <f>IFERROR(VLOOKUP(A109,PRODUTOS!A:E,5,FALSE), "Categoria não encontrada")</f>
        <v>EPI</v>
      </c>
      <c r="D109" s="166" t="str">
        <f>IFERROR(VLOOKUP(A109,PRODUTOS!A:E,4,FALSE), "Categoria não encontrada")</f>
        <v>UN</v>
      </c>
      <c r="E109" s="167">
        <f>SUMIFS(MOVIMENTACOES!F:F,MOVIMENTACOES!C:C,A109,MOVIMENTACOES!E:E,"Entrada")</f>
        <v>6</v>
      </c>
      <c r="F109" s="167">
        <f>SUMIFS(MOVIMENTACOES!F:F,MOVIMENTACOES!C:C,A109,MOVIMENTACOES!E:E,"Saída")</f>
        <v>2</v>
      </c>
      <c r="G109" s="168">
        <f t="shared" si="1"/>
        <v>4</v>
      </c>
      <c r="H109" s="169" t="str">
        <f t="shared" si="2"/>
        <v>OK</v>
      </c>
      <c r="I109" s="170" t="str">
        <f>VLOOKUP(A109, PRODUTOS!A:H, 3, FALSE)</f>
        <v>SIGBP</v>
      </c>
    </row>
    <row r="110" ht="20.25" customHeight="1">
      <c r="A110" s="171">
        <v>2.00052414E8</v>
      </c>
      <c r="B110" s="20" t="str">
        <f>VLOOKUP(A110,produto,2,0)</f>
        <v>LUVA LATEX M(8) COM 100 UND</v>
      </c>
      <c r="C110" s="8" t="str">
        <f>IFERROR(VLOOKUP(A110,PRODUTOS!A:E,5,FALSE), "Categoria não encontrada")</f>
        <v>EPI</v>
      </c>
      <c r="D110" s="166" t="str">
        <f>IFERROR(VLOOKUP(A110,PRODUTOS!A:E,4,FALSE), "Categoria não encontrada")</f>
        <v>UN</v>
      </c>
      <c r="E110" s="166">
        <f>SUMIFS(MOVIMENTACOES!F:F,MOVIMENTACOES!C:C,A110,MOVIMENTACOES!E:E,"Entrada")</f>
        <v>4</v>
      </c>
      <c r="F110" s="166">
        <f>SUMIFS(MOVIMENTACOES!F:F,MOVIMENTACOES!C:C,A110,MOVIMENTACOES!E:E,"Saída")</f>
        <v>0</v>
      </c>
      <c r="G110" s="168">
        <f t="shared" si="1"/>
        <v>4</v>
      </c>
      <c r="H110" s="169" t="str">
        <f t="shared" si="2"/>
        <v>OK</v>
      </c>
      <c r="I110" s="170" t="str">
        <f>VLOOKUP(A110, PRODUTOS!A:H, 3, FALSE)</f>
        <v>SIGBP</v>
      </c>
    </row>
    <row r="111" ht="20.25" customHeight="1">
      <c r="A111" s="104">
        <v>2.00075793E8</v>
      </c>
      <c r="B111" s="20" t="str">
        <f>VLOOKUP(A111,produto,2,0)</f>
        <v>MASCARA DE PROTEÇÃO PFF2 FILTRO N95 COM VALVULA SUPER SAFETY (azul)</v>
      </c>
      <c r="C111" s="8" t="str">
        <f>IFERROR(VLOOKUP(A111,PRODUTOS!A:E,5,FALSE), "Categoria não encontrada")</f>
        <v>EPI</v>
      </c>
      <c r="D111" s="166" t="str">
        <f>IFERROR(VLOOKUP(A111,PRODUTOS!A:E,4,FALSE), "Categoria não encontrada")</f>
        <v>PCT</v>
      </c>
      <c r="E111" s="167">
        <f>SUMIFS(MOVIMENTACOES!F:F,MOVIMENTACOES!C:C,A111,MOVIMENTACOES!E:E,"Entrada")</f>
        <v>15</v>
      </c>
      <c r="F111" s="167">
        <f>SUMIFS(MOVIMENTACOES!F:F,MOVIMENTACOES!C:C,A111,MOVIMENTACOES!E:E,"Saída")</f>
        <v>3</v>
      </c>
      <c r="G111" s="168">
        <f t="shared" si="1"/>
        <v>12</v>
      </c>
      <c r="H111" s="169" t="str">
        <f t="shared" si="2"/>
        <v>OK</v>
      </c>
      <c r="I111" s="170" t="str">
        <f>VLOOKUP(A111, PRODUTOS!A:H, 3, FALSE)</f>
        <v>SIGBP</v>
      </c>
    </row>
    <row r="112" ht="20.25" customHeight="1">
      <c r="A112" s="104">
        <v>2.00061889E8</v>
      </c>
      <c r="B112" s="20" t="str">
        <f>VLOOKUP(A112,produto,2,0)</f>
        <v>MASCARA DE PROTEÇÃO PFF2 FILTRO N95( BRANCA)</v>
      </c>
      <c r="C112" s="8" t="str">
        <f>IFERROR(VLOOKUP(A112,PRODUTOS!A:E,5,FALSE), "Categoria não encontrada")</f>
        <v>EPI</v>
      </c>
      <c r="D112" s="166" t="str">
        <f>IFERROR(VLOOKUP(A112,PRODUTOS!A:E,4,FALSE), "Categoria não encontrada")</f>
        <v>UN</v>
      </c>
      <c r="E112" s="167">
        <f>SUMIFS(MOVIMENTACOES!F:F,MOVIMENTACOES!C:C,A112,MOVIMENTACOES!E:E,"Entrada")</f>
        <v>19</v>
      </c>
      <c r="F112" s="167">
        <f>SUMIFS(MOVIMENTACOES!F:F,MOVIMENTACOES!C:C,A112,MOVIMENTACOES!E:E,"Saída")</f>
        <v>4</v>
      </c>
      <c r="G112" s="168">
        <f t="shared" si="1"/>
        <v>15</v>
      </c>
      <c r="H112" s="169" t="str">
        <f t="shared" si="2"/>
        <v>OK</v>
      </c>
      <c r="I112" s="170" t="str">
        <f>VLOOKUP(A112, PRODUTOS!A:H, 3, FALSE)</f>
        <v>SIGBP</v>
      </c>
    </row>
    <row r="113" ht="20.25" customHeight="1">
      <c r="A113" s="171">
        <v>2.00070939E8</v>
      </c>
      <c r="B113" s="20" t="str">
        <f>VLOOKUP(A113,produto,2,0)</f>
        <v>MASCARA DE PROTEÇÃO PFR95 FILTRO N95 (PRETA)</v>
      </c>
      <c r="C113" s="8" t="str">
        <f>IFERROR(VLOOKUP(A113,PRODUTOS!A:E,5,FALSE), "Categoria não encontrada")</f>
        <v>EPI</v>
      </c>
      <c r="D113" s="166" t="str">
        <f>IFERROR(VLOOKUP(A113,PRODUTOS!A:E,4,FALSE), "Categoria não encontrada")</f>
        <v>UN</v>
      </c>
      <c r="E113" s="166">
        <f>SUMIFS(MOVIMENTACOES!F:F,MOVIMENTACOES!C:C,A113,MOVIMENTACOES!E:E,"Entrada")</f>
        <v>5</v>
      </c>
      <c r="F113" s="166">
        <f>SUMIFS(MOVIMENTACOES!F:F,MOVIMENTACOES!C:C,A113,MOVIMENTACOES!E:E,"Saída")</f>
        <v>0</v>
      </c>
      <c r="G113" s="168">
        <f t="shared" si="1"/>
        <v>5</v>
      </c>
      <c r="H113" s="169" t="str">
        <f t="shared" si="2"/>
        <v>OK</v>
      </c>
      <c r="I113" s="170" t="str">
        <f>VLOOKUP(A113, PRODUTOS!A:H, 3, FALSE)</f>
        <v>SIGBP</v>
      </c>
    </row>
    <row r="114" ht="20.25" customHeight="1">
      <c r="A114" s="171">
        <v>2.00043606E8</v>
      </c>
      <c r="B114" s="20" t="str">
        <f>VLOOKUP(A114,produto,2,0)</f>
        <v>PASTA OFICIO EM PAPELAO COM TRILHO 250X340MM</v>
      </c>
      <c r="C114" s="8" t="str">
        <f>IFERROR(VLOOKUP(A114,PRODUTOS!A:E,5,FALSE), "Categoria não encontrada")</f>
        <v>EXPEDIENTE</v>
      </c>
      <c r="D114" s="166" t="str">
        <f>IFERROR(VLOOKUP(A114,PRODUTOS!A:E,4,FALSE), "Categoria não encontrada")</f>
        <v>UN</v>
      </c>
      <c r="E114" s="166">
        <f>SUMIFS(MOVIMENTACOES!F:F,MOVIMENTACOES!C:C,A114,MOVIMENTACOES!E:E,"Entrada")</f>
        <v>10</v>
      </c>
      <c r="F114" s="166">
        <f>SUMIFS(MOVIMENTACOES!F:F,MOVIMENTACOES!C:C,A114,MOVIMENTACOES!E:E,"Saída")</f>
        <v>0</v>
      </c>
      <c r="G114" s="168">
        <f t="shared" si="1"/>
        <v>10</v>
      </c>
      <c r="H114" s="169" t="str">
        <f t="shared" si="2"/>
        <v>OK</v>
      </c>
      <c r="I114" s="170" t="str">
        <f>VLOOKUP(A114, PRODUTOS!A:H, 3, FALSE)</f>
        <v>SIGBP</v>
      </c>
    </row>
    <row r="115" ht="20.25" customHeight="1">
      <c r="A115" s="171">
        <v>2.00038156E8</v>
      </c>
      <c r="B115" s="20" t="str">
        <f>VLOOKUP(A115,produto,2,0)</f>
        <v>EXTRATOR DE GRAMPO ESPATULA EM AÇO DE 15cm</v>
      </c>
      <c r="C115" s="8" t="str">
        <f>IFERROR(VLOOKUP(A115,PRODUTOS!A:E,5,FALSE), "Categoria não encontrada")</f>
        <v>EXPEDIENTE</v>
      </c>
      <c r="D115" s="166" t="str">
        <f>IFERROR(VLOOKUP(A115,PRODUTOS!A:E,4,FALSE), "Categoria não encontrada")</f>
        <v>UN</v>
      </c>
      <c r="E115" s="166">
        <f>SUMIFS(MOVIMENTACOES!F:F,MOVIMENTACOES!C:C,A115,MOVIMENTACOES!E:E,"Entrada")</f>
        <v>10</v>
      </c>
      <c r="F115" s="166">
        <f>SUMIFS(MOVIMENTACOES!F:F,MOVIMENTACOES!C:C,A115,MOVIMENTACOES!E:E,"Saída")</f>
        <v>2</v>
      </c>
      <c r="G115" s="168">
        <f t="shared" si="1"/>
        <v>8</v>
      </c>
      <c r="H115" s="169" t="str">
        <f t="shared" si="2"/>
        <v>OK</v>
      </c>
      <c r="I115" s="170" t="str">
        <f>VLOOKUP(A115, PRODUTOS!A:H, 3, FALSE)</f>
        <v>SIGBP</v>
      </c>
    </row>
    <row r="116" ht="20.25" customHeight="1">
      <c r="A116" s="104">
        <v>2.00064766E8</v>
      </c>
      <c r="B116" s="20" t="str">
        <f>VLOOKUP(A116,produto,2,0)</f>
        <v>PASTA COM ELASTICO LONGA 335 X 245 X 55MM</v>
      </c>
      <c r="C116" s="8" t="str">
        <f>IFERROR(VLOOKUP(A116,PRODUTOS!A:E,5,FALSE), "Categoria não encontrada")</f>
        <v>EXPEDIENTE</v>
      </c>
      <c r="D116" s="166" t="str">
        <f>IFERROR(VLOOKUP(A116,PRODUTOS!A:E,4,FALSE), "Categoria não encontrada")</f>
        <v>UN</v>
      </c>
      <c r="E116" s="167">
        <f>SUMIFS(MOVIMENTACOES!F:F,MOVIMENTACOES!C:C,A116,MOVIMENTACOES!E:E,"Entrada")</f>
        <v>37</v>
      </c>
      <c r="F116" s="167">
        <f>SUMIFS(MOVIMENTACOES!F:F,MOVIMENTACOES!C:C,A116,MOVIMENTACOES!E:E,"Saída")</f>
        <v>17</v>
      </c>
      <c r="G116" s="168">
        <f t="shared" si="1"/>
        <v>20</v>
      </c>
      <c r="H116" s="169" t="str">
        <f t="shared" si="2"/>
        <v>OK</v>
      </c>
      <c r="I116" s="170" t="str">
        <f>VLOOKUP(A116, PRODUTOS!A:H, 3, FALSE)</f>
        <v>SIGBP</v>
      </c>
    </row>
    <row r="117" ht="20.25" customHeight="1">
      <c r="A117" s="104">
        <v>2.0008183E8</v>
      </c>
      <c r="B117" s="20" t="str">
        <f>VLOOKUP(A117,produto,2,0)</f>
        <v>BLOCO DE ANOTAÇÃO AUTOADESIVO 76 X 102 MM COM 100 FOLHAS</v>
      </c>
      <c r="C117" s="8" t="str">
        <f>IFERROR(VLOOKUP(A117,PRODUTOS!A:E,5,FALSE), "Categoria não encontrada")</f>
        <v>EXPEDIENTE</v>
      </c>
      <c r="D117" s="166" t="str">
        <f>IFERROR(VLOOKUP(A117,PRODUTOS!A:E,4,FALSE), "Categoria não encontrada")</f>
        <v>PCT</v>
      </c>
      <c r="E117" s="167">
        <f>SUMIFS(MOVIMENTACOES!F:F,MOVIMENTACOES!C:C,A117,MOVIMENTACOES!E:E,"Entrada")</f>
        <v>6</v>
      </c>
      <c r="F117" s="167">
        <f>SUMIFS(MOVIMENTACOES!F:F,MOVIMENTACOES!C:C,A117,MOVIMENTACOES!E:E,"Saída")</f>
        <v>1</v>
      </c>
      <c r="G117" s="168">
        <f t="shared" si="1"/>
        <v>5</v>
      </c>
      <c r="H117" s="169" t="str">
        <f t="shared" si="2"/>
        <v>OK</v>
      </c>
      <c r="I117" s="170" t="str">
        <f>VLOOKUP(A117, PRODUTOS!A:H, 3, FALSE)</f>
        <v>SIGBP</v>
      </c>
    </row>
    <row r="118" ht="20.25" customHeight="1">
      <c r="A118" s="104">
        <v>2.00036733E8</v>
      </c>
      <c r="B118" s="20" t="str">
        <f>VLOOKUP(A118,produto,2,0)</f>
        <v> CANETA MARCA TEXTO PLASTICA COR AMARELO</v>
      </c>
      <c r="C118" s="8" t="str">
        <f>IFERROR(VLOOKUP(A118,PRODUTOS!A:E,5,FALSE), "Categoria não encontrada")</f>
        <v>EXPEDIENTE</v>
      </c>
      <c r="D118" s="166" t="str">
        <f>IFERROR(VLOOKUP(A118,PRODUTOS!A:E,4,FALSE), "Categoria não encontrada")</f>
        <v>UN</v>
      </c>
      <c r="E118" s="167">
        <f>SUMIFS(MOVIMENTACOES!F:F,MOVIMENTACOES!C:C,A118,MOVIMENTACOES!E:E,"Entrada")</f>
        <v>13</v>
      </c>
      <c r="F118" s="167">
        <f>SUMIFS(MOVIMENTACOES!F:F,MOVIMENTACOES!C:C,A118,MOVIMENTACOES!E:E,"Saída")</f>
        <v>6</v>
      </c>
      <c r="G118" s="168">
        <f t="shared" si="1"/>
        <v>7</v>
      </c>
      <c r="H118" s="169" t="str">
        <f t="shared" si="2"/>
        <v>OK</v>
      </c>
      <c r="I118" s="170" t="str">
        <f>VLOOKUP(A118, PRODUTOS!A:H, 3, FALSE)</f>
        <v>SIGBP</v>
      </c>
    </row>
    <row r="119" ht="20.25" customHeight="1">
      <c r="A119" s="171">
        <v>2.00066176E8</v>
      </c>
      <c r="B119" s="20" t="str">
        <f>VLOOKUP(A119,produto,2,0)</f>
        <v>TESOURA MULTIUSO SEM PONTA</v>
      </c>
      <c r="C119" s="8" t="str">
        <f>IFERROR(VLOOKUP(A119,PRODUTOS!A:E,5,FALSE), "Categoria não encontrada")</f>
        <v>EXPEDIENTE</v>
      </c>
      <c r="D119" s="166" t="str">
        <f>IFERROR(VLOOKUP(A119,PRODUTOS!A:E,4,FALSE), "Categoria não encontrada")</f>
        <v>UN</v>
      </c>
      <c r="E119" s="166">
        <f>SUMIFS(MOVIMENTACOES!F:F,MOVIMENTACOES!C:C,A119,MOVIMENTACOES!E:E,"Entrada")</f>
        <v>5</v>
      </c>
      <c r="F119" s="166">
        <f>SUMIFS(MOVIMENTACOES!F:F,MOVIMENTACOES!C:C,A119,MOVIMENTACOES!E:E,"Saída")</f>
        <v>0</v>
      </c>
      <c r="G119" s="168">
        <f t="shared" si="1"/>
        <v>5</v>
      </c>
      <c r="H119" s="169" t="str">
        <f t="shared" si="2"/>
        <v>OK</v>
      </c>
      <c r="I119" s="170" t="str">
        <f>VLOOKUP(A119, PRODUTOS!A:H, 3, FALSE)</f>
        <v>SIGBP</v>
      </c>
    </row>
    <row r="120" ht="20.25" customHeight="1">
      <c r="A120" s="171">
        <v>2.0007495E8</v>
      </c>
      <c r="B120" s="20" t="str">
        <f>VLOOKUP(A120,produto,2,0)</f>
        <v>PILHA ALCALINA AA 1,5V COM 4 UNIDADES</v>
      </c>
      <c r="C120" s="8" t="str">
        <f>IFERROR(VLOOKUP(A120,PRODUTOS!A:E,5,FALSE), "Categoria não encontrada")</f>
        <v>EXPEDIENTE</v>
      </c>
      <c r="D120" s="166" t="str">
        <f>IFERROR(VLOOKUP(A120,PRODUTOS!A:E,4,FALSE), "Categoria não encontrada")</f>
        <v>PCT</v>
      </c>
      <c r="E120" s="166">
        <f>SUMIFS(MOVIMENTACOES!F:F,MOVIMENTACOES!C:C,A120,MOVIMENTACOES!E:E,"Entrada")</f>
        <v>16</v>
      </c>
      <c r="F120" s="166">
        <f>SUMIFS(MOVIMENTACOES!F:F,MOVIMENTACOES!C:C,A120,MOVIMENTACOES!E:E,"Saída")</f>
        <v>9</v>
      </c>
      <c r="G120" s="168">
        <f t="shared" si="1"/>
        <v>7</v>
      </c>
      <c r="H120" s="169" t="str">
        <f t="shared" si="2"/>
        <v>OK</v>
      </c>
      <c r="I120" s="170" t="str">
        <f>VLOOKUP(A120, PRODUTOS!A:H, 3, FALSE)</f>
        <v>SIGBP</v>
      </c>
    </row>
    <row r="121" ht="20.25" customHeight="1">
      <c r="A121" s="104">
        <v>2.00036202E8</v>
      </c>
      <c r="B121" s="20" t="str">
        <f>VLOOKUP(A121,produto,2,0)</f>
        <v>CANETA ESFEROGRAFICA PONTA MEDIA COR AZUL</v>
      </c>
      <c r="C121" s="8" t="str">
        <f>IFERROR(VLOOKUP(A121,PRODUTOS!A:E,5,FALSE), "Categoria não encontrada")</f>
        <v>EXPEDIENTE</v>
      </c>
      <c r="D121" s="166" t="str">
        <f>IFERROR(VLOOKUP(A121,PRODUTOS!A:E,4,FALSE), "Categoria não encontrada")</f>
        <v>CX</v>
      </c>
      <c r="E121" s="167">
        <f>SUMIFS(MOVIMENTACOES!F:F,MOVIMENTACOES!C:C,A121,MOVIMENTACOES!E:E,"Entrada")</f>
        <v>29</v>
      </c>
      <c r="F121" s="167">
        <f>SUMIFS(MOVIMENTACOES!F:F,MOVIMENTACOES!C:C,A121,MOVIMENTACOES!E:E,"Saída")</f>
        <v>20</v>
      </c>
      <c r="G121" s="168">
        <f t="shared" si="1"/>
        <v>9</v>
      </c>
      <c r="H121" s="169" t="str">
        <f t="shared" si="2"/>
        <v>OK</v>
      </c>
      <c r="I121" s="170" t="str">
        <f>VLOOKUP(A121, PRODUTOS!A:H, 3, FALSE)</f>
        <v>SIGBP</v>
      </c>
    </row>
    <row r="122" ht="20.25" customHeight="1">
      <c r="A122" s="171">
        <v>2.00036488E8</v>
      </c>
      <c r="B122" s="20" t="str">
        <f>VLOOKUP(A122,produto,2,0)</f>
        <v>CANETA MARCADOR PERMANENTE PONTA 2.0mm</v>
      </c>
      <c r="C122" s="8" t="str">
        <f>IFERROR(VLOOKUP(A122,PRODUTOS!A:E,5,FALSE), "Categoria não encontrada")</f>
        <v>EXPEDIENTE</v>
      </c>
      <c r="D122" s="166" t="str">
        <f>IFERROR(VLOOKUP(A122,PRODUTOS!A:E,4,FALSE), "Categoria não encontrada")</f>
        <v>UN</v>
      </c>
      <c r="E122" s="167">
        <f>SUMIFS(MOVIMENTACOES!F:F,MOVIMENTACOES!C:C,A122,MOVIMENTACOES!E:E,"Entrada")</f>
        <v>7</v>
      </c>
      <c r="F122" s="167">
        <f>SUMIFS(MOVIMENTACOES!F:F,MOVIMENTACOES!C:C,A122,MOVIMENTACOES!E:E,"Saída")</f>
        <v>3</v>
      </c>
      <c r="G122" s="168">
        <f t="shared" si="1"/>
        <v>4</v>
      </c>
      <c r="H122" s="169" t="str">
        <f t="shared" si="2"/>
        <v>OK</v>
      </c>
      <c r="I122" s="170" t="str">
        <f>VLOOKUP(A122, PRODUTOS!A:H, 3, FALSE)</f>
        <v>SIGBP</v>
      </c>
    </row>
    <row r="123" ht="20.25" customHeight="1">
      <c r="A123" s="171">
        <v>2.00031692E8</v>
      </c>
      <c r="B123" s="20" t="str">
        <f>VLOOKUP(A123,produto,2,0)</f>
        <v> CANETA PARA RETROPROJETOR FINA</v>
      </c>
      <c r="C123" s="8" t="str">
        <f>IFERROR(VLOOKUP(A123,PRODUTOS!A:E,5,FALSE), "Categoria não encontrada")</f>
        <v>EXPEDIENTE</v>
      </c>
      <c r="D123" s="166" t="str">
        <f>IFERROR(VLOOKUP(A123,PRODUTOS!A:E,4,FALSE), "Categoria não encontrada")</f>
        <v>UN</v>
      </c>
      <c r="E123" s="166">
        <f>SUMIFS(MOVIMENTACOES!F:F,MOVIMENTACOES!C:C,A123,MOVIMENTACOES!E:E,"Entrada")</f>
        <v>18</v>
      </c>
      <c r="F123" s="166">
        <f>SUMIFS(MOVIMENTACOES!F:F,MOVIMENTACOES!C:C,A123,MOVIMENTACOES!E:E,"Saída")</f>
        <v>14</v>
      </c>
      <c r="G123" s="168">
        <f t="shared" si="1"/>
        <v>4</v>
      </c>
      <c r="H123" s="169" t="str">
        <f t="shared" si="2"/>
        <v>OK</v>
      </c>
      <c r="I123" s="170" t="str">
        <f>VLOOKUP(A123, PRODUTOS!A:H, 3, FALSE)</f>
        <v>SIGBP</v>
      </c>
    </row>
    <row r="124" ht="20.25" customHeight="1">
      <c r="A124" s="104">
        <v>2.00036201E8</v>
      </c>
      <c r="B124" s="20" t="str">
        <f>VLOOKUP(A124,produto,2,0)</f>
        <v>CANETA ESFEROGRAFICA PONTA MEDIA COR PRETA</v>
      </c>
      <c r="C124" s="8" t="str">
        <f>IFERROR(VLOOKUP(A124,PRODUTOS!A:E,5,FALSE), "Categoria não encontrada")</f>
        <v>EXPEDIENTE</v>
      </c>
      <c r="D124" s="166" t="str">
        <f>IFERROR(VLOOKUP(A124,PRODUTOS!A:E,4,FALSE), "Categoria não encontrada")</f>
        <v>UN</v>
      </c>
      <c r="E124" s="167">
        <f>SUMIFS(MOVIMENTACOES!F:F,MOVIMENTACOES!C:C,A124,MOVIMENTACOES!E:E,"Entrada")</f>
        <v>22</v>
      </c>
      <c r="F124" s="167">
        <f>SUMIFS(MOVIMENTACOES!F:F,MOVIMENTACOES!C:C,A124,MOVIMENTACOES!E:E,"Saída")</f>
        <v>8</v>
      </c>
      <c r="G124" s="168">
        <f t="shared" si="1"/>
        <v>14</v>
      </c>
      <c r="H124" s="169" t="str">
        <f t="shared" si="2"/>
        <v>OK</v>
      </c>
      <c r="I124" s="170" t="str">
        <f>VLOOKUP(A124, PRODUTOS!A:H, 3, FALSE)</f>
        <v>SIGBP</v>
      </c>
    </row>
    <row r="125" ht="20.25" customHeight="1">
      <c r="A125" s="104">
        <v>2.00038178E8</v>
      </c>
      <c r="B125" s="20" t="str">
        <f>VLOOKUP(A125,produto,2,0)</f>
        <v>CARTOLINA GRAMATURA 50X66CM DE 150G</v>
      </c>
      <c r="C125" s="8" t="str">
        <f>IFERROR(VLOOKUP(A125,PRODUTOS!A:E,5,FALSE), "Categoria não encontrada")</f>
        <v>EXPEDIENTE</v>
      </c>
      <c r="D125" s="166" t="str">
        <f>IFERROR(VLOOKUP(A125,PRODUTOS!A:E,4,FALSE), "Categoria não encontrada")</f>
        <v>UN</v>
      </c>
      <c r="E125" s="167">
        <f>SUMIFS(MOVIMENTACOES!F:F,MOVIMENTACOES!C:C,A125,MOVIMENTACOES!E:E,"Entrada")</f>
        <v>6</v>
      </c>
      <c r="F125" s="167">
        <f>SUMIFS(MOVIMENTACOES!F:F,MOVIMENTACOES!C:C,A125,MOVIMENTACOES!E:E,"Saída")</f>
        <v>2</v>
      </c>
      <c r="G125" s="168">
        <f t="shared" si="1"/>
        <v>4</v>
      </c>
      <c r="H125" s="169" t="str">
        <f t="shared" si="2"/>
        <v>OK</v>
      </c>
      <c r="I125" s="170" t="str">
        <f>VLOOKUP(A125, PRODUTOS!A:H, 3, FALSE)</f>
        <v>SIGBP</v>
      </c>
    </row>
    <row r="126" ht="20.25" customHeight="1">
      <c r="A126" s="171">
        <v>2.00036489E8</v>
      </c>
      <c r="B126" s="20" t="str">
        <f>VLOOKUP(A126,produto,2,0)</f>
        <v>CLIPS NIQUELADO Nº 1 COM 100 UN</v>
      </c>
      <c r="C126" s="8" t="str">
        <f>IFERROR(VLOOKUP(A126,PRODUTOS!A:E,5,FALSE), "Categoria não encontrada")</f>
        <v>EXPEDIENTE</v>
      </c>
      <c r="D126" s="166" t="str">
        <f>IFERROR(VLOOKUP(A126,PRODUTOS!A:E,4,FALSE), "Categoria não encontrada")</f>
        <v>CX</v>
      </c>
      <c r="E126" s="166">
        <f>SUMIFS(MOVIMENTACOES!F:F,MOVIMENTACOES!C:C,A126,MOVIMENTACOES!E:E,"Entrada")</f>
        <v>12</v>
      </c>
      <c r="F126" s="166">
        <f>SUMIFS(MOVIMENTACOES!F:F,MOVIMENTACOES!C:C,A126,MOVIMENTACOES!E:E,"Saída")</f>
        <v>6</v>
      </c>
      <c r="G126" s="168">
        <f t="shared" si="1"/>
        <v>6</v>
      </c>
      <c r="H126" s="169" t="str">
        <f t="shared" si="2"/>
        <v>OK</v>
      </c>
      <c r="I126" s="170" t="str">
        <f>VLOOKUP(A126, PRODUTOS!A:H, 3, FALSE)</f>
        <v>SIGBP</v>
      </c>
    </row>
    <row r="127" ht="20.25" customHeight="1">
      <c r="A127" s="104">
        <v>2.00085185E8</v>
      </c>
      <c r="B127" s="20" t="str">
        <f>VLOOKUP(A127,produto,2,0)</f>
        <v>ESPARADRAPO IMPERMEAVEL 5CM X 4,5M</v>
      </c>
      <c r="C127" s="8" t="str">
        <f>IFERROR(VLOOKUP(A127,PRODUTOS!A:E,5,FALSE), "Categoria não encontrada")</f>
        <v>EXPEDIENTE</v>
      </c>
      <c r="D127" s="166" t="str">
        <f>IFERROR(VLOOKUP(A127,PRODUTOS!A:E,4,FALSE), "Categoria não encontrada")</f>
        <v>UN</v>
      </c>
      <c r="E127" s="167">
        <f>SUMIFS(MOVIMENTACOES!F:F,MOVIMENTACOES!C:C,A127,MOVIMENTACOES!E:E,"Entrada")</f>
        <v>7</v>
      </c>
      <c r="F127" s="167">
        <f>SUMIFS(MOVIMENTACOES!F:F,MOVIMENTACOES!C:C,A127,MOVIMENTACOES!E:E,"Saída")</f>
        <v>1</v>
      </c>
      <c r="G127" s="168">
        <f t="shared" si="1"/>
        <v>6</v>
      </c>
      <c r="H127" s="169" t="str">
        <f t="shared" si="2"/>
        <v>OK</v>
      </c>
      <c r="I127" s="170" t="str">
        <f>VLOOKUP(A127, PRODUTOS!A:H, 3, FALSE)</f>
        <v>SIGBP</v>
      </c>
    </row>
    <row r="128" ht="20.25" customHeight="1">
      <c r="A128" s="104">
        <v>2.00037892E8</v>
      </c>
      <c r="B128" s="20" t="str">
        <f>VLOOKUP(A128,produto,2,0)</f>
        <v>FITA ADESIVA CREPE 19MM X 50M</v>
      </c>
      <c r="C128" s="8" t="str">
        <f>IFERROR(VLOOKUP(A128,PRODUTOS!A:E,5,FALSE), "Categoria não encontrada")</f>
        <v>EXPEDIENTE</v>
      </c>
      <c r="D128" s="166" t="str">
        <f>IFERROR(VLOOKUP(A128,PRODUTOS!A:E,4,FALSE), "Categoria não encontrada")</f>
        <v>UN</v>
      </c>
      <c r="E128" s="167">
        <f>SUMIFS(MOVIMENTACOES!F:F,MOVIMENTACOES!C:C,A128,MOVIMENTACOES!E:E,"Entrada")</f>
        <v>6</v>
      </c>
      <c r="F128" s="167">
        <f>SUMIFS(MOVIMENTACOES!F:F,MOVIMENTACOES!C:C,A128,MOVIMENTACOES!E:E,"Saída")</f>
        <v>2</v>
      </c>
      <c r="G128" s="168">
        <f t="shared" si="1"/>
        <v>4</v>
      </c>
      <c r="H128" s="169" t="str">
        <f t="shared" si="2"/>
        <v>OK</v>
      </c>
      <c r="I128" s="170" t="str">
        <f>VLOOKUP(A128, PRODUTOS!A:H, 3, FALSE)</f>
        <v>SIGBP</v>
      </c>
    </row>
    <row r="129" ht="20.25" customHeight="1">
      <c r="A129" s="104">
        <v>2.00033068E8</v>
      </c>
      <c r="B129" s="20" t="str">
        <f>VLOOKUP(A129,produto,2,0)</f>
        <v> PAPEL SULFITE A4 210 X 297MM 75G BRANCO MULTIUSO PACOTE COM 500 FLS</v>
      </c>
      <c r="C129" s="8" t="str">
        <f>IFERROR(VLOOKUP(A129,PRODUTOS!A:E,5,FALSE), "Categoria não encontrada")</f>
        <v>EXPEDIENTE</v>
      </c>
      <c r="D129" s="166" t="str">
        <f>IFERROR(VLOOKUP(A129,PRODUTOS!A:E,4,FALSE), "Categoria não encontrada")</f>
        <v>UN</v>
      </c>
      <c r="E129" s="167">
        <f>SUMIFS(MOVIMENTACOES!F:F,MOVIMENTACOES!C:C,A129,MOVIMENTACOES!E:E,"Entrada")</f>
        <v>58</v>
      </c>
      <c r="F129" s="167">
        <f>SUMIFS(MOVIMENTACOES!F:F,MOVIMENTACOES!C:C,A129,MOVIMENTACOES!E:E,"Saída")</f>
        <v>41</v>
      </c>
      <c r="G129" s="168">
        <f t="shared" si="1"/>
        <v>17</v>
      </c>
      <c r="H129" s="169" t="str">
        <f t="shared" si="2"/>
        <v>OK</v>
      </c>
      <c r="I129" s="170" t="str">
        <f>VLOOKUP(A129, PRODUTOS!A:H, 3, FALSE)</f>
        <v>SIGBP</v>
      </c>
    </row>
    <row r="130" ht="20.25" customHeight="1">
      <c r="A130" s="104">
        <v>2.0003678E8</v>
      </c>
      <c r="B130" s="20" t="str">
        <f>VLOOKUP(A130,produto,2,0)</f>
        <v>GRAMPO PARA GRAMPEADOR NIQUELADO 26/6 CAIXA COM 5000 PEÇAS</v>
      </c>
      <c r="C130" s="8" t="str">
        <f>IFERROR(VLOOKUP(A130,PRODUTOS!A:E,5,FALSE), "Categoria não encontrada")</f>
        <v>EXPEDIENTE</v>
      </c>
      <c r="D130" s="166" t="str">
        <f>IFERROR(VLOOKUP(A130,PRODUTOS!A:E,4,FALSE), "Categoria não encontrada")</f>
        <v>UN</v>
      </c>
      <c r="E130" s="167">
        <f>SUMIFS(MOVIMENTACOES!F:F,MOVIMENTACOES!C:C,A130,MOVIMENTACOES!E:E,"Entrada")</f>
        <v>7</v>
      </c>
      <c r="F130" s="167">
        <f>SUMIFS(MOVIMENTACOES!F:F,MOVIMENTACOES!C:C,A130,MOVIMENTACOES!E:E,"Saída")</f>
        <v>1</v>
      </c>
      <c r="G130" s="168">
        <f t="shared" si="1"/>
        <v>6</v>
      </c>
      <c r="H130" s="169" t="str">
        <f t="shared" si="2"/>
        <v>OK</v>
      </c>
      <c r="I130" s="170" t="str">
        <f>VLOOKUP(A130, PRODUTOS!A:H, 3, FALSE)</f>
        <v>SIGBP</v>
      </c>
    </row>
    <row r="131" ht="20.25" customHeight="1">
      <c r="A131" s="104">
        <v>2.00058015E8</v>
      </c>
      <c r="B131" s="20" t="str">
        <f>VLOOKUP(A131,produto,2,0)</f>
        <v>KNESIO - FITA DE CINESIOLOGIA ROLO COM 5CM X 5M</v>
      </c>
      <c r="C131" s="8" t="str">
        <f>IFERROR(VLOOKUP(A131,PRODUTOS!A:E,5,FALSE), "Categoria não encontrada")</f>
        <v>EXPEDIENTE</v>
      </c>
      <c r="D131" s="166" t="str">
        <f>IFERROR(VLOOKUP(A131,PRODUTOS!A:E,4,FALSE), "Categoria não encontrada")</f>
        <v>UN</v>
      </c>
      <c r="E131" s="167">
        <f>SUMIFS(MOVIMENTACOES!F:F,MOVIMENTACOES!C:C,A131,MOVIMENTACOES!E:E,"Entrada")</f>
        <v>15</v>
      </c>
      <c r="F131" s="167">
        <f>SUMIFS(MOVIMENTACOES!F:F,MOVIMENTACOES!C:C,A131,MOVIMENTACOES!E:E,"Saída")</f>
        <v>6</v>
      </c>
      <c r="G131" s="168">
        <f t="shared" si="1"/>
        <v>9</v>
      </c>
      <c r="H131" s="169" t="str">
        <f t="shared" si="2"/>
        <v>OK</v>
      </c>
      <c r="I131" s="170" t="str">
        <f>VLOOKUP(A131, PRODUTOS!A:H, 3, FALSE)</f>
        <v>SIGBP</v>
      </c>
    </row>
    <row r="132" ht="20.25" customHeight="1">
      <c r="A132" s="104">
        <v>2.00061185E8</v>
      </c>
      <c r="B132" s="20" t="str">
        <f>VLOOKUP(A132,produto,2,0)</f>
        <v>LAMINA PARA ESTILETE ESTREITO DE 18CM</v>
      </c>
      <c r="C132" s="8" t="str">
        <f>IFERROR(VLOOKUP(A132,PRODUTOS!A:E,5,FALSE), "Categoria não encontrada")</f>
        <v>EXPEDIENTE</v>
      </c>
      <c r="D132" s="166" t="str">
        <f>IFERROR(VLOOKUP(A132,PRODUTOS!A:E,4,FALSE), "Categoria não encontrada")</f>
        <v>UN</v>
      </c>
      <c r="E132" s="167">
        <f>SUMIFS(MOVIMENTACOES!F:F,MOVIMENTACOES!C:C,A132,MOVIMENTACOES!E:E,"Entrada")</f>
        <v>16</v>
      </c>
      <c r="F132" s="167">
        <f>SUMIFS(MOVIMENTACOES!F:F,MOVIMENTACOES!C:C,A132,MOVIMENTACOES!E:E,"Saída")</f>
        <v>5</v>
      </c>
      <c r="G132" s="168">
        <f t="shared" si="1"/>
        <v>11</v>
      </c>
      <c r="H132" s="169" t="str">
        <f t="shared" si="2"/>
        <v>OK</v>
      </c>
      <c r="I132" s="170" t="str">
        <f>VLOOKUP(A132, PRODUTOS!A:H, 3, FALSE)</f>
        <v>SIGBP</v>
      </c>
    </row>
    <row r="133" ht="20.25" customHeight="1">
      <c r="A133" s="171">
        <v>2.00001528E8</v>
      </c>
      <c r="B133" s="20" t="str">
        <f>VLOOKUP(A133,produto,2,0)</f>
        <v> LAPIS GRAFITE Nº 02</v>
      </c>
      <c r="C133" s="8" t="str">
        <f>IFERROR(VLOOKUP(A133,PRODUTOS!A:E,5,FALSE), "Categoria não encontrada")</f>
        <v>EXPEDIENTE</v>
      </c>
      <c r="D133" s="166" t="str">
        <f>IFERROR(VLOOKUP(A133,PRODUTOS!A:E,4,FALSE), "Categoria não encontrada")</f>
        <v>UN</v>
      </c>
      <c r="E133" s="166">
        <f>SUMIFS(MOVIMENTACOES!F:F,MOVIMENTACOES!C:C,A133,MOVIMENTACOES!E:E,"Entrada")</f>
        <v>16</v>
      </c>
      <c r="F133" s="166">
        <f>SUMIFS(MOVIMENTACOES!F:F,MOVIMENTACOES!C:C,A133,MOVIMENTACOES!E:E,"Saída")</f>
        <v>7</v>
      </c>
      <c r="G133" s="168">
        <f t="shared" si="1"/>
        <v>9</v>
      </c>
      <c r="H133" s="169" t="str">
        <f t="shared" si="2"/>
        <v>OK</v>
      </c>
      <c r="I133" s="170" t="str">
        <f>VLOOKUP(A133, PRODUTOS!A:H, 3, FALSE)</f>
        <v>SIGBP</v>
      </c>
    </row>
    <row r="134" ht="20.25" customHeight="1">
      <c r="A134" s="104" t="s">
        <v>150</v>
      </c>
      <c r="B134" s="20" t="str">
        <f>VLOOKUP(A134,produto,2,0)</f>
        <v>MARCADOR PARA QUADRO BRANCO</v>
      </c>
      <c r="C134" s="8" t="str">
        <f>IFERROR(VLOOKUP(A134,PRODUTOS!A:E,5,FALSE), "Categoria não encontrada")</f>
        <v>EXPEDIENTE</v>
      </c>
      <c r="D134" s="166" t="str">
        <f>IFERROR(VLOOKUP(A134,PRODUTOS!A:E,4,FALSE), "Categoria não encontrada")</f>
        <v>UN</v>
      </c>
      <c r="E134" s="167">
        <f>SUMIFS(MOVIMENTACOES!F:F,MOVIMENTACOES!C:C,A134,MOVIMENTACOES!E:E,"Entrada")</f>
        <v>9</v>
      </c>
      <c r="F134" s="167">
        <f>SUMIFS(MOVIMENTACOES!F:F,MOVIMENTACOES!C:C,A134,MOVIMENTACOES!E:E,"Saída")</f>
        <v>1</v>
      </c>
      <c r="G134" s="168">
        <f t="shared" si="1"/>
        <v>8</v>
      </c>
      <c r="H134" s="169" t="str">
        <f t="shared" si="2"/>
        <v>OK</v>
      </c>
      <c r="I134" s="170" t="str">
        <f>VLOOKUP(A134, PRODUTOS!A:H, 3, FALSE)</f>
        <v>SIGBP</v>
      </c>
    </row>
    <row r="135" ht="20.25" customHeight="1">
      <c r="A135" s="104">
        <v>2.00082939E8</v>
      </c>
      <c r="B135" s="20" t="str">
        <f>VLOOKUP(A135,produto,2,0)</f>
        <v> BLOCO DE PAPEL AUTO ADESIVO POST IT 38X50MM 100 FOLHAS</v>
      </c>
      <c r="C135" s="8" t="str">
        <f>IFERROR(VLOOKUP(A135,PRODUTOS!A:E,5,FALSE), "Categoria não encontrada")</f>
        <v>EXPEDIENTE</v>
      </c>
      <c r="D135" s="166" t="str">
        <f>IFERROR(VLOOKUP(A135,PRODUTOS!A:E,4,FALSE), "Categoria não encontrada")</f>
        <v>PCT</v>
      </c>
      <c r="E135" s="167">
        <f>SUMIFS(MOVIMENTACOES!F:F,MOVIMENTACOES!C:C,A135,MOVIMENTACOES!E:E,"Entrada")</f>
        <v>8</v>
      </c>
      <c r="F135" s="167">
        <f>SUMIFS(MOVIMENTACOES!F:F,MOVIMENTACOES!C:C,A135,MOVIMENTACOES!E:E,"Saída")</f>
        <v>4</v>
      </c>
      <c r="G135" s="168">
        <f t="shared" si="1"/>
        <v>4</v>
      </c>
      <c r="H135" s="169" t="str">
        <f t="shared" si="2"/>
        <v>OK</v>
      </c>
      <c r="I135" s="170" t="str">
        <f>VLOOKUP(A135, PRODUTOS!A:H, 3, FALSE)</f>
        <v>SIGBP</v>
      </c>
    </row>
    <row r="136" ht="20.25" customHeight="1">
      <c r="A136" s="171">
        <v>2.00000047E8</v>
      </c>
      <c r="B136" s="20" t="str">
        <f>VLOOKUP(A136,produto,2,0)</f>
        <v>POTES DE VIDRO 210ml</v>
      </c>
      <c r="C136" s="8" t="str">
        <f>IFERROR(VLOOKUP(A136,PRODUTOS!A:E,5,FALSE), "Categoria não encontrada")</f>
        <v>EXPEDIENTE</v>
      </c>
      <c r="D136" s="166" t="str">
        <f>IFERROR(VLOOKUP(A136,PRODUTOS!A:E,4,FALSE), "Categoria não encontrada")</f>
        <v>UN</v>
      </c>
      <c r="E136" s="167">
        <f>SUMIFS(MOVIMENTACOES!F:F,MOVIMENTACOES!C:C,A136,MOVIMENTACOES!E:E,"Entrada")</f>
        <v>12</v>
      </c>
      <c r="F136" s="167">
        <f>SUMIFS(MOVIMENTACOES!F:F,MOVIMENTACOES!C:C,A136,MOVIMENTACOES!E:E,"Saída")</f>
        <v>8</v>
      </c>
      <c r="G136" s="168">
        <f t="shared" si="1"/>
        <v>4</v>
      </c>
      <c r="H136" s="169" t="str">
        <f t="shared" si="2"/>
        <v>OK</v>
      </c>
      <c r="I136" s="170" t="str">
        <f>VLOOKUP(A136, PRODUTOS!A:H, 3, FALSE)</f>
        <v>DOAÇÃO</v>
      </c>
    </row>
    <row r="137" ht="20.25" customHeight="1">
      <c r="A137" s="104">
        <v>2.00062977E8</v>
      </c>
      <c r="B137" s="20" t="str">
        <f>VLOOKUP(A137,produto,2,0)</f>
        <v>TINTA PARA CARIMBO COR AZUL DE 40ML</v>
      </c>
      <c r="C137" s="8" t="str">
        <f>IFERROR(VLOOKUP(A137,PRODUTOS!A:E,5,FALSE), "Categoria não encontrada")</f>
        <v>EXPEDIENTE</v>
      </c>
      <c r="D137" s="166" t="str">
        <f>IFERROR(VLOOKUP(A137,PRODUTOS!A:E,4,FALSE), "Categoria não encontrada")</f>
        <v>UN</v>
      </c>
      <c r="E137" s="167">
        <f>SUMIFS(MOVIMENTACOES!F:F,MOVIMENTACOES!C:C,A137,MOVIMENTACOES!E:E,"Entrada")</f>
        <v>8</v>
      </c>
      <c r="F137" s="167">
        <f>SUMIFS(MOVIMENTACOES!F:F,MOVIMENTACOES!C:C,A137,MOVIMENTACOES!E:E,"Saída")</f>
        <v>4</v>
      </c>
      <c r="G137" s="168">
        <f t="shared" si="1"/>
        <v>4</v>
      </c>
      <c r="H137" s="169" t="str">
        <f t="shared" si="2"/>
        <v>OK</v>
      </c>
      <c r="I137" s="170" t="str">
        <f>VLOOKUP(A137, PRODUTOS!A:H, 3, FALSE)</f>
        <v>SIGBP</v>
      </c>
    </row>
    <row r="138" ht="20.25" customHeight="1">
      <c r="A138" s="104" t="s">
        <v>206</v>
      </c>
      <c r="B138" s="20" t="str">
        <f>VLOOKUP(A138,produto,2,0)</f>
        <v>PLACA TERMOPLASTICA - ORFIT ECO BLACK NS 45 x 60cm x 3.2mm MINI Perforated</v>
      </c>
      <c r="C138" s="8" t="str">
        <f>IFERROR(VLOOKUP(A138,PRODUTOS!A:E,5,FALSE), "Categoria não encontrada")</f>
        <v>MATERIAL T.O</v>
      </c>
      <c r="D138" s="166" t="str">
        <f>IFERROR(VLOOKUP(A138,PRODUTOS!A:E,4,FALSE), "Categoria não encontrada")</f>
        <v>UN</v>
      </c>
      <c r="E138" s="167">
        <f>SUMIFS(MOVIMENTACOES!F:F,MOVIMENTACOES!C:C,A138,MOVIMENTACOES!E:E,"Entrada")</f>
        <v>15</v>
      </c>
      <c r="F138" s="167">
        <f>SUMIFS(MOVIMENTACOES!F:F,MOVIMENTACOES!C:C,A138,MOVIMENTACOES!E:E,"Saída")</f>
        <v>11</v>
      </c>
      <c r="G138" s="168">
        <f t="shared" si="1"/>
        <v>4</v>
      </c>
      <c r="H138" s="169" t="str">
        <f t="shared" si="2"/>
        <v>OK</v>
      </c>
      <c r="I138" s="170" t="str">
        <f>VLOOKUP(A138, PRODUTOS!A:H, 3, FALSE)</f>
        <v>EFECTIV</v>
      </c>
    </row>
    <row r="139" ht="20.25" customHeight="1">
      <c r="A139" s="104" t="s">
        <v>211</v>
      </c>
      <c r="B139" s="20" t="str">
        <f>VLOOKUP(A139,produto,2,0)</f>
        <v>PLACA TERMOPLASTICA - ORFIT ECO NATUREL 45 x 60cm x 3.2mm MINI Perforated</v>
      </c>
      <c r="C139" s="8" t="str">
        <f>IFERROR(VLOOKUP(A139,PRODUTOS!A:E,5,FALSE), "Categoria não encontrada")</f>
        <v>MATERIAL T.O</v>
      </c>
      <c r="D139" s="166" t="str">
        <f>IFERROR(VLOOKUP(A139,PRODUTOS!A:E,4,FALSE), "Categoria não encontrada")</f>
        <v>UN</v>
      </c>
      <c r="E139" s="167">
        <f>SUMIFS(MOVIMENTACOES!F:F,MOVIMENTACOES!C:C,A139,MOVIMENTACOES!E:E,"Entrada")</f>
        <v>29</v>
      </c>
      <c r="F139" s="167">
        <f>SUMIFS(MOVIMENTACOES!F:F,MOVIMENTACOES!C:C,A139,MOVIMENTACOES!E:E,"Saída")</f>
        <v>13</v>
      </c>
      <c r="G139" s="168">
        <f t="shared" si="1"/>
        <v>16</v>
      </c>
      <c r="H139" s="169" t="str">
        <f t="shared" si="2"/>
        <v>OK</v>
      </c>
      <c r="I139" s="170" t="str">
        <f>VLOOKUP(A139, PRODUTOS!A:H, 3, FALSE)</f>
        <v>EFECTIV</v>
      </c>
    </row>
    <row r="140" ht="20.25" customHeight="1">
      <c r="A140" s="176">
        <v>2.00000033E8</v>
      </c>
      <c r="B140" s="20" t="str">
        <f>VLOOKUP(A140,produto,2,0)</f>
        <v>BANCO PEQUENO AZUL</v>
      </c>
      <c r="C140" s="8" t="str">
        <f>IFERROR(VLOOKUP(A140,PRODUTOS!A:E,5,FALSE), "Categoria não encontrada")</f>
        <v>MOVEIS</v>
      </c>
      <c r="D140" s="166" t="str">
        <f>IFERROR(VLOOKUP(A140,PRODUTOS!A:E,4,FALSE), "Categoria não encontrada")</f>
        <v>UN</v>
      </c>
      <c r="E140" s="166">
        <f>SUMIFS(MOVIMENTACOES!F:F,MOVIMENTACOES!C:C,A140,MOVIMENTACOES!E:E,"Entrada")</f>
        <v>10</v>
      </c>
      <c r="F140" s="166">
        <f>SUMIFS(MOVIMENTACOES!F:F,MOVIMENTACOES!C:C,A140,MOVIMENTACOES!E:E,"Saída")</f>
        <v>4</v>
      </c>
      <c r="G140" s="168">
        <f t="shared" si="1"/>
        <v>6</v>
      </c>
      <c r="H140" s="169" t="str">
        <f t="shared" si="2"/>
        <v>OK</v>
      </c>
      <c r="I140" s="170" t="str">
        <f>VLOOKUP(A140, PRODUTOS!A:H, 3, FALSE)</f>
        <v>SIGBP</v>
      </c>
    </row>
    <row r="141" ht="20.25" customHeight="1">
      <c r="A141" s="171">
        <v>7.0101029E8</v>
      </c>
      <c r="B141" s="20" t="str">
        <f>VLOOKUP(A141,produto,2,0)</f>
        <v>APOIO LATERAL DE TRONCO (3 OU 4 PONTOS)</v>
      </c>
      <c r="C141" s="8" t="str">
        <f>IFERROR(VLOOKUP(A141,PRODUTOS!A:E,5,FALSE), "Categoria não encontrada")</f>
        <v>OFICINA</v>
      </c>
      <c r="D141" s="166" t="str">
        <f>IFERROR(VLOOKUP(A141,PRODUTOS!A:E,4,FALSE), "Categoria não encontrada")</f>
        <v>UN</v>
      </c>
      <c r="E141" s="166">
        <f>SUMIFS(MOVIMENTACOES!F:F,MOVIMENTACOES!C:C,A141,MOVIMENTACOES!E:E,"Entrada")</f>
        <v>10</v>
      </c>
      <c r="F141" s="166">
        <f>SUMIFS(MOVIMENTACOES!F:F,MOVIMENTACOES!C:C,A141,MOVIMENTACOES!E:E,"Saída")</f>
        <v>0</v>
      </c>
      <c r="G141" s="168">
        <f t="shared" si="1"/>
        <v>10</v>
      </c>
      <c r="H141" s="169" t="str">
        <f t="shared" si="2"/>
        <v>OK</v>
      </c>
      <c r="I141" s="170" t="str">
        <f>VLOOKUP(A141, PRODUTOS!A:H, 3, FALSE)</f>
        <v>ORTOBRAS</v>
      </c>
    </row>
    <row r="142" ht="20.25" customHeight="1">
      <c r="A142" s="28">
        <v>2.00042537E8</v>
      </c>
      <c r="B142" s="20" t="str">
        <f>VLOOKUP(A142,produto,2,0)</f>
        <v>CAMARA DE AR DO PNEU</v>
      </c>
      <c r="C142" s="8" t="str">
        <f>IFERROR(VLOOKUP(A142,PRODUTOS!A:E,5,FALSE), "Categoria não encontrada")</f>
        <v>OFICINA</v>
      </c>
      <c r="D142" s="166" t="str">
        <f>IFERROR(VLOOKUP(A142,PRODUTOS!A:E,4,FALSE), "Categoria não encontrada")</f>
        <v>UN</v>
      </c>
      <c r="E142" s="167">
        <f>SUMIFS(MOVIMENTACOES!F:F,MOVIMENTACOES!C:C,A142,MOVIMENTACOES!E:E,"Entrada")</f>
        <v>13</v>
      </c>
      <c r="F142" s="167">
        <f>SUMIFS(MOVIMENTACOES!F:F,MOVIMENTACOES!C:C,A142,MOVIMENTACOES!E:E,"Saída")</f>
        <v>0</v>
      </c>
      <c r="G142" s="168">
        <f t="shared" si="1"/>
        <v>13</v>
      </c>
      <c r="H142" s="169" t="str">
        <f t="shared" si="2"/>
        <v>OK</v>
      </c>
      <c r="I142" s="170" t="str">
        <f>VLOOKUP(A142, PRODUTOS!A:H, 3, FALSE)</f>
        <v>SIGBP</v>
      </c>
    </row>
    <row r="143" ht="20.25" customHeight="1">
      <c r="A143" s="15">
        <v>2.00083821E8</v>
      </c>
      <c r="B143" s="20" t="str">
        <f>VLOOKUP(A143,produto,2,0)</f>
        <v>ESPUMA LAMINADA D-33 SELADA 1900X5000X01CM</v>
      </c>
      <c r="C143" s="8" t="str">
        <f>IFERROR(VLOOKUP(A143,PRODUTOS!A:E,5,FALSE), "Categoria não encontrada")</f>
        <v>OFICINA</v>
      </c>
      <c r="D143" s="166" t="str">
        <f>IFERROR(VLOOKUP(A143,PRODUTOS!A:E,4,FALSE), "Categoria não encontrada")</f>
        <v>MT</v>
      </c>
      <c r="E143" s="166">
        <f>SUMIFS(MOVIMENTACOES!F:F,MOVIMENTACOES!C:C,A143,MOVIMENTACOES!E:E,"Entrada")</f>
        <v>20</v>
      </c>
      <c r="F143" s="167">
        <f>SUMIFS(MOVIMENTACOES!F:F,MOVIMENTACOES!C:C,A143,MOVIMENTACOES!E:E,"Saída")</f>
        <v>0.7</v>
      </c>
      <c r="G143" s="168">
        <f t="shared" si="1"/>
        <v>19.3</v>
      </c>
      <c r="H143" s="169" t="str">
        <f t="shared" si="2"/>
        <v>OK</v>
      </c>
      <c r="I143" s="170" t="str">
        <f>VLOOKUP(A143, PRODUTOS!A:H, 3, FALSE)</f>
        <v>SIGBP</v>
      </c>
    </row>
    <row r="144" ht="20.25" customHeight="1">
      <c r="A144" s="15">
        <v>2.00083824E8</v>
      </c>
      <c r="B144" s="20" t="str">
        <f>VLOOKUP(A144,produto,2,0)</f>
        <v>ESPUMA LAMINADA D-33 SELADA 5000X1900X3.00CM</v>
      </c>
      <c r="C144" s="8" t="str">
        <f>IFERROR(VLOOKUP(A144,PRODUTOS!A:E,5,FALSE), "Categoria não encontrada")</f>
        <v>OFICINA</v>
      </c>
      <c r="D144" s="166" t="str">
        <f>IFERROR(VLOOKUP(A144,PRODUTOS!A:E,4,FALSE), "Categoria não encontrada")</f>
        <v>MT</v>
      </c>
      <c r="E144" s="166">
        <f>SUMIFS(MOVIMENTACOES!F:F,MOVIMENTACOES!C:C,A144,MOVIMENTACOES!E:E,"Entrada")</f>
        <v>20</v>
      </c>
      <c r="F144" s="166">
        <f>SUMIFS(MOVIMENTACOES!F:F,MOVIMENTACOES!C:C,A144,MOVIMENTACOES!E:E,"Saída")</f>
        <v>0.7</v>
      </c>
      <c r="G144" s="168">
        <f t="shared" si="1"/>
        <v>19.3</v>
      </c>
      <c r="H144" s="169" t="str">
        <f t="shared" si="2"/>
        <v>OK</v>
      </c>
      <c r="I144" s="170" t="str">
        <f>VLOOKUP(A144, PRODUTOS!A:H, 3, FALSE)</f>
        <v>SIGBP</v>
      </c>
    </row>
    <row r="145" ht="20.25" customHeight="1">
      <c r="A145" s="15">
        <v>2.00083825E8</v>
      </c>
      <c r="B145" s="20" t="str">
        <f>VLOOKUP(A145,produto,2,0)</f>
        <v>ESPUMA LAMINADA D-33 SELADA 5000X1900X5.00CM</v>
      </c>
      <c r="C145" s="8" t="str">
        <f>IFERROR(VLOOKUP(A145,PRODUTOS!A:E,5,FALSE), "Categoria não encontrada")</f>
        <v>OFICINA</v>
      </c>
      <c r="D145" s="166" t="str">
        <f>IFERROR(VLOOKUP(A145,PRODUTOS!A:E,4,FALSE), "Categoria não encontrada")</f>
        <v>MT</v>
      </c>
      <c r="E145" s="166">
        <f>SUMIFS(MOVIMENTACOES!F:F,MOVIMENTACOES!C:C,A145,MOVIMENTACOES!E:E,"Entrada")</f>
        <v>15</v>
      </c>
      <c r="F145" s="166">
        <f>SUMIFS(MOVIMENTACOES!F:F,MOVIMENTACOES!C:C,A145,MOVIMENTACOES!E:E,"Saída")</f>
        <v>8.1</v>
      </c>
      <c r="G145" s="168">
        <f t="shared" si="1"/>
        <v>6.9</v>
      </c>
      <c r="H145" s="169" t="str">
        <f t="shared" si="2"/>
        <v>OK</v>
      </c>
      <c r="I145" s="170" t="str">
        <f>VLOOKUP(A145, PRODUTOS!A:H, 3, FALSE)</f>
        <v>SIGBP</v>
      </c>
    </row>
    <row r="146" ht="20.25" customHeight="1">
      <c r="A146" s="15">
        <v>2.00083812E8</v>
      </c>
      <c r="B146" s="20" t="str">
        <f>VLOOKUP(A146,produto,2,0)</f>
        <v>ESPUMA LAMINADA D-45 SELADA 5000X1900X05CM</v>
      </c>
      <c r="C146" s="8" t="str">
        <f>IFERROR(VLOOKUP(A146,PRODUTOS!A:E,5,FALSE), "Categoria não encontrada")</f>
        <v>OFICINA</v>
      </c>
      <c r="D146" s="166" t="str">
        <f>IFERROR(VLOOKUP(A146,PRODUTOS!A:E,4,FALSE), "Categoria não encontrada")</f>
        <v>MT</v>
      </c>
      <c r="E146" s="166">
        <f>SUMIFS(MOVIMENTACOES!F:F,MOVIMENTACOES!C:C,A146,MOVIMENTACOES!E:E,"Entrada")</f>
        <v>10</v>
      </c>
      <c r="F146" s="166">
        <f>SUMIFS(MOVIMENTACOES!F:F,MOVIMENTACOES!C:C,A146,MOVIMENTACOES!E:E,"Saída")</f>
        <v>0</v>
      </c>
      <c r="G146" s="168">
        <f t="shared" si="1"/>
        <v>10</v>
      </c>
      <c r="H146" s="169" t="str">
        <f t="shared" si="2"/>
        <v>OK</v>
      </c>
      <c r="I146" s="170" t="str">
        <f>VLOOKUP(A146, PRODUTOS!A:H, 3, FALSE)</f>
        <v>SIGBP</v>
      </c>
    </row>
    <row r="147" ht="20.25" customHeight="1">
      <c r="A147" s="70" t="s">
        <v>265</v>
      </c>
      <c r="B147" s="20" t="str">
        <f>VLOOKUP(A147,produto,2,0)</f>
        <v>Estopa Branca 150g Para Polimentos em Geral</v>
      </c>
      <c r="C147" s="8" t="str">
        <f>IFERROR(VLOOKUP(A147,PRODUTOS!A:E,5,FALSE), "Categoria não encontrada")</f>
        <v>OFICINA</v>
      </c>
      <c r="D147" s="166" t="str">
        <f>IFERROR(VLOOKUP(A147,PRODUTOS!A:E,4,FALSE), "Categoria não encontrada")</f>
        <v>PCT</v>
      </c>
      <c r="E147" s="167">
        <f>SUMIFS(MOVIMENTACOES!F:F,MOVIMENTACOES!C:C,A147,MOVIMENTACOES!E:E,"Entrada")</f>
        <v>6</v>
      </c>
      <c r="F147" s="167">
        <f>SUMIFS(MOVIMENTACOES!F:F,MOVIMENTACOES!C:C,A147,MOVIMENTACOES!E:E,"Saída")</f>
        <v>1</v>
      </c>
      <c r="G147" s="168">
        <f t="shared" si="1"/>
        <v>5</v>
      </c>
      <c r="H147" s="169" t="str">
        <f t="shared" si="2"/>
        <v>OK</v>
      </c>
      <c r="I147" s="170" t="str">
        <f>VLOOKUP(A147, PRODUTOS!A:H, 3, FALSE)</f>
        <v>SIGBP</v>
      </c>
    </row>
    <row r="148" ht="20.25" customHeight="1">
      <c r="A148" s="70" t="s">
        <v>270</v>
      </c>
      <c r="B148" s="20" t="str">
        <f>VLOOKUP(A148,produto,2,0)</f>
        <v>LAPIS COPIATIVO COM 12 UND</v>
      </c>
      <c r="C148" s="8" t="str">
        <f>IFERROR(VLOOKUP(A148,PRODUTOS!A:E,5,FALSE), "Categoria não encontrada")</f>
        <v>OFICINA</v>
      </c>
      <c r="D148" s="166" t="str">
        <f>IFERROR(VLOOKUP(A148,PRODUTOS!A:E,4,FALSE), "Categoria não encontrada")</f>
        <v>CX</v>
      </c>
      <c r="E148" s="166">
        <f>SUMIFS(MOVIMENTACOES!F:F,MOVIMENTACOES!C:C,A148,MOVIMENTACOES!E:E,"Entrada")</f>
        <v>9</v>
      </c>
      <c r="F148" s="167">
        <f>SUMIFS(MOVIMENTACOES!F:F,MOVIMENTACOES!C:C,A148,MOVIMENTACOES!E:E,"Saída")</f>
        <v>1</v>
      </c>
      <c r="G148" s="168">
        <f t="shared" si="1"/>
        <v>8</v>
      </c>
      <c r="H148" s="169" t="str">
        <f t="shared" si="2"/>
        <v>OK</v>
      </c>
      <c r="I148" s="170" t="str">
        <f>VLOOKUP(A148, PRODUTOS!A:H, 3, FALSE)</f>
        <v>SIGBP</v>
      </c>
    </row>
    <row r="149" ht="20.25" customHeight="1">
      <c r="A149" s="28">
        <v>2.00000037E8</v>
      </c>
      <c r="B149" s="20" t="str">
        <f>VLOOKUP(A149,produto,2,0)</f>
        <v>PAPEL TRANSFER SUBLIMÁTICO  FEMININO</v>
      </c>
      <c r="C149" s="8" t="str">
        <f>IFERROR(VLOOKUP(A149,PRODUTOS!A:E,5,FALSE), "Categoria não encontrada")</f>
        <v>OFICINA</v>
      </c>
      <c r="D149" s="166" t="str">
        <f>IFERROR(VLOOKUP(A149,PRODUTOS!A:E,4,FALSE), "Categoria não encontrada")</f>
        <v>UN</v>
      </c>
      <c r="E149" s="166">
        <f>SUMIFS(MOVIMENTACOES!F:F,MOVIMENTACOES!C:C,A149,MOVIMENTACOES!E:E,"Entrada")</f>
        <v>28</v>
      </c>
      <c r="F149" s="166">
        <f>SUMIFS(MOVIMENTACOES!F:F,MOVIMENTACOES!C:C,A149,MOVIMENTACOES!E:E,"Saída")</f>
        <v>2</v>
      </c>
      <c r="G149" s="168">
        <f t="shared" si="1"/>
        <v>26</v>
      </c>
      <c r="H149" s="169" t="str">
        <f t="shared" si="2"/>
        <v>OK</v>
      </c>
      <c r="I149" s="170" t="str">
        <f>VLOOKUP(A149, PRODUTOS!A:H, 3, FALSE)</f>
        <v>DOAÇÃO</v>
      </c>
    </row>
    <row r="150" ht="20.25" customHeight="1">
      <c r="A150" s="28">
        <v>2.00000036E8</v>
      </c>
      <c r="B150" s="20" t="str">
        <f>VLOOKUP(A150,produto,2,0)</f>
        <v>PAPEL TRANSFER SUBLIMÁTICO  MASCULINO</v>
      </c>
      <c r="C150" s="8" t="str">
        <f>IFERROR(VLOOKUP(A150,PRODUTOS!A:E,5,FALSE), "Categoria não encontrada")</f>
        <v>OFICINA</v>
      </c>
      <c r="D150" s="166" t="str">
        <f>IFERROR(VLOOKUP(A150,PRODUTOS!A:E,4,FALSE), "Categoria não encontrada")</f>
        <v>UN</v>
      </c>
      <c r="E150" s="166">
        <f>SUMIFS(MOVIMENTACOES!F:F,MOVIMENTACOES!C:C,A150,MOVIMENTACOES!E:E,"Entrada")</f>
        <v>17</v>
      </c>
      <c r="F150" s="166">
        <f>SUMIFS(MOVIMENTACOES!F:F,MOVIMENTACOES!C:C,A150,MOVIMENTACOES!E:E,"Saída")</f>
        <v>4</v>
      </c>
      <c r="G150" s="168">
        <f t="shared" si="1"/>
        <v>13</v>
      </c>
      <c r="H150" s="169" t="str">
        <f t="shared" si="2"/>
        <v>OK</v>
      </c>
      <c r="I150" s="170" t="str">
        <f>VLOOKUP(A150, PRODUTOS!A:H, 3, FALSE)</f>
        <v>DOAÇÃO</v>
      </c>
    </row>
    <row r="151" ht="20.25" customHeight="1">
      <c r="A151" s="28">
        <v>2.00000035E8</v>
      </c>
      <c r="B151" s="20" t="str">
        <f>VLOOKUP(A151,produto,2,0)</f>
        <v>PAPEL TRANSFER SUBLIMÁTICO  NEUTRO</v>
      </c>
      <c r="C151" s="8" t="str">
        <f>IFERROR(VLOOKUP(A151,PRODUTOS!A:E,5,FALSE), "Categoria não encontrada")</f>
        <v>OFICINA</v>
      </c>
      <c r="D151" s="166" t="str">
        <f>IFERROR(VLOOKUP(A151,PRODUTOS!A:E,4,FALSE), "Categoria não encontrada")</f>
        <v>UN</v>
      </c>
      <c r="E151" s="166">
        <f>SUMIFS(MOVIMENTACOES!F:F,MOVIMENTACOES!C:C,A151,MOVIMENTACOES!E:E,"Entrada")</f>
        <v>25</v>
      </c>
      <c r="F151" s="166">
        <f>SUMIFS(MOVIMENTACOES!F:F,MOVIMENTACOES!C:C,A151,MOVIMENTACOES!E:E,"Saída")</f>
        <v>2</v>
      </c>
      <c r="G151" s="168">
        <f t="shared" si="1"/>
        <v>23</v>
      </c>
      <c r="H151" s="169" t="str">
        <f t="shared" si="2"/>
        <v>OK</v>
      </c>
      <c r="I151" s="170" t="str">
        <f>VLOOKUP(A151, PRODUTOS!A:H, 3, FALSE)</f>
        <v>DOAÇÃO</v>
      </c>
    </row>
    <row r="152" ht="20.25" customHeight="1">
      <c r="A152" s="31">
        <v>2.00000031E8</v>
      </c>
      <c r="B152" s="20" t="str">
        <f>VLOOKUP(A152,produto,2,0)</f>
        <v>PAR DE RODINHAS ANTI TOMBO P/ CADEIRA DE RODAS</v>
      </c>
      <c r="C152" s="8" t="str">
        <f>IFERROR(VLOOKUP(A152,PRODUTOS!A:E,5,FALSE), "Categoria não encontrada")</f>
        <v>OFICINA</v>
      </c>
      <c r="D152" s="166" t="str">
        <f>IFERROR(VLOOKUP(A152,PRODUTOS!A:E,4,FALSE), "Categoria não encontrada")</f>
        <v>UN</v>
      </c>
      <c r="E152" s="167">
        <f>SUMIFS(MOVIMENTACOES!F:F,MOVIMENTACOES!C:C,A152,MOVIMENTACOES!E:E,"Entrada")</f>
        <v>14</v>
      </c>
      <c r="F152" s="167">
        <f>SUMIFS(MOVIMENTACOES!F:F,MOVIMENTACOES!C:C,A152,MOVIMENTACOES!E:E,"Saída")</f>
        <v>0</v>
      </c>
      <c r="G152" s="168">
        <f t="shared" si="1"/>
        <v>14</v>
      </c>
      <c r="H152" s="169" t="str">
        <f t="shared" si="2"/>
        <v>OK</v>
      </c>
      <c r="I152" s="170" t="str">
        <f>VLOOKUP(A152, PRODUTOS!A:H, 3, FALSE)</f>
        <v>ORTOBRAS</v>
      </c>
    </row>
    <row r="153" ht="20.25" customHeight="1">
      <c r="A153" s="31">
        <v>2.30621029E8</v>
      </c>
      <c r="B153" s="20" t="str">
        <f>VLOOKUP(A153,produto,2,0)</f>
        <v>RODA ARO 6 PRETA C/ PNEU MAC PRETO PP</v>
      </c>
      <c r="C153" s="8" t="str">
        <f>IFERROR(VLOOKUP(A153,PRODUTOS!A:E,5,FALSE), "Categoria não encontrada")</f>
        <v>OFICINA</v>
      </c>
      <c r="D153" s="166" t="str">
        <f>IFERROR(VLOOKUP(A153,PRODUTOS!A:E,4,FALSE), "Categoria não encontrada")</f>
        <v>UN</v>
      </c>
      <c r="E153" s="166">
        <f>SUMIFS(MOVIMENTACOES!F:F,MOVIMENTACOES!C:C,A153,MOVIMENTACOES!E:E,"Entrada")</f>
        <v>11</v>
      </c>
      <c r="F153" s="166">
        <f>SUMIFS(MOVIMENTACOES!F:F,MOVIMENTACOES!C:C,A153,MOVIMENTACOES!E:E,"Saída")</f>
        <v>0</v>
      </c>
      <c r="G153" s="168">
        <f t="shared" si="1"/>
        <v>11</v>
      </c>
      <c r="H153" s="169" t="str">
        <f t="shared" si="2"/>
        <v>OK</v>
      </c>
      <c r="I153" s="170" t="str">
        <f>VLOOKUP(A153, PRODUTOS!A:H, 3, FALSE)</f>
        <v>SIGBP</v>
      </c>
    </row>
    <row r="154" ht="20.25" customHeight="1">
      <c r="A154" s="31">
        <v>2.0000003E8</v>
      </c>
      <c r="B154" s="20" t="str">
        <f>VLOOKUP(A154,produto,2,0)</f>
        <v>SUPORTE P/ APOIO DE  PÉ</v>
      </c>
      <c r="C154" s="8" t="str">
        <f>IFERROR(VLOOKUP(A154,PRODUTOS!A:E,5,FALSE), "Categoria não encontrada")</f>
        <v>OFICINA</v>
      </c>
      <c r="D154" s="166" t="str">
        <f>IFERROR(VLOOKUP(A154,PRODUTOS!A:E,4,FALSE), "Categoria não encontrada")</f>
        <v>UN</v>
      </c>
      <c r="E154" s="166">
        <f>SUMIFS(MOVIMENTACOES!F:F,MOVIMENTACOES!C:C,A154,MOVIMENTACOES!E:E,"Entrada")</f>
        <v>10</v>
      </c>
      <c r="F154" s="166">
        <f>SUMIFS(MOVIMENTACOES!F:F,MOVIMENTACOES!C:C,A154,MOVIMENTACOES!E:E,"Saída")</f>
        <v>0</v>
      </c>
      <c r="G154" s="168">
        <f t="shared" si="1"/>
        <v>10</v>
      </c>
      <c r="H154" s="169" t="str">
        <f t="shared" si="2"/>
        <v>OK</v>
      </c>
      <c r="I154" s="170" t="str">
        <f>VLOOKUP(A154, PRODUTOS!A:H, 3, FALSE)</f>
        <v>SIGBP</v>
      </c>
    </row>
    <row r="155" ht="20.25" customHeight="1">
      <c r="A155" s="28">
        <v>2.00000029E8</v>
      </c>
      <c r="B155" s="20" t="str">
        <f>VLOOKUP(A155,produto,2,0)</f>
        <v>TUBO GALV. 3/4 1,55MM 6M</v>
      </c>
      <c r="C155" s="8" t="str">
        <f>IFERROR(VLOOKUP(A155,PRODUTOS!A:E,5,FALSE), "Categoria não encontrada")</f>
        <v>OFICINA</v>
      </c>
      <c r="D155" s="166" t="str">
        <f>IFERROR(VLOOKUP(A155,PRODUTOS!A:E,4,FALSE), "Categoria não encontrada")</f>
        <v>UN</v>
      </c>
      <c r="E155" s="167">
        <f>SUMIFS(MOVIMENTACOES!F:F,MOVIMENTACOES!C:C,A155,MOVIMENTACOES!E:E,"Entrada")</f>
        <v>8</v>
      </c>
      <c r="F155" s="167">
        <f>SUMIFS(MOVIMENTACOES!F:F,MOVIMENTACOES!C:C,A155,MOVIMENTACOES!E:E,"Saída")</f>
        <v>3</v>
      </c>
      <c r="G155" s="168">
        <f t="shared" si="1"/>
        <v>5</v>
      </c>
      <c r="H155" s="169" t="str">
        <f t="shared" si="2"/>
        <v>OK</v>
      </c>
      <c r="I155" s="170" t="str">
        <f>VLOOKUP(A155, PRODUTOS!A:H, 3, FALSE)</f>
        <v>LDF - LOJÃO DUFERRO</v>
      </c>
    </row>
    <row r="156" ht="20.25" customHeight="1">
      <c r="A156" s="15">
        <v>2.0000004E8</v>
      </c>
      <c r="B156" s="20" t="str">
        <f>VLOOKUP(A156,produto,2,0)</f>
        <v>ATADURA GESSADA 10cm x 3m, cx com 20 und</v>
      </c>
      <c r="C156" s="8" t="str">
        <f>IFERROR(VLOOKUP(A156,PRODUTOS!A:E,5,FALSE), "Categoria não encontrada")</f>
        <v>ORTESES E PROTESES</v>
      </c>
      <c r="D156" s="166" t="str">
        <f>IFERROR(VLOOKUP(A156,PRODUTOS!A:E,4,FALSE), "Categoria não encontrada")</f>
        <v>CX</v>
      </c>
      <c r="E156" s="166">
        <f>SUMIFS(MOVIMENTACOES!F:F,MOVIMENTACOES!C:C,A156,MOVIMENTACOES!E:E,"Entrada")</f>
        <v>8</v>
      </c>
      <c r="F156" s="166">
        <f>SUMIFS(MOVIMENTACOES!F:F,MOVIMENTACOES!C:C,A156,MOVIMENTACOES!E:E,"Saída")</f>
        <v>4</v>
      </c>
      <c r="G156" s="168">
        <f t="shared" si="1"/>
        <v>4</v>
      </c>
      <c r="H156" s="169" t="str">
        <f t="shared" si="2"/>
        <v>OK</v>
      </c>
      <c r="I156" s="173" t="s">
        <v>27</v>
      </c>
    </row>
    <row r="157" ht="20.25" customHeight="1">
      <c r="A157" s="70">
        <v>2.00085557E8</v>
      </c>
      <c r="B157" s="20" t="str">
        <f>VLOOKUP(A157,produto,2,0)</f>
        <v>ADAP. COM 3 HASTES C/ PIRAMIDE FIXO UNICO/UNICO</v>
      </c>
      <c r="C157" s="8" t="str">
        <f>IFERROR(VLOOKUP(A157,PRODUTOS!A:E,5,FALSE), "Categoria não encontrada")</f>
        <v>ORTESES E PROTESES</v>
      </c>
      <c r="D157" s="166" t="str">
        <f>IFERROR(VLOOKUP(A157,PRODUTOS!A:E,4,FALSE), "Categoria não encontrada")</f>
        <v>UN</v>
      </c>
      <c r="E157" s="167">
        <f>SUMIFS(MOVIMENTACOES!F:F,MOVIMENTACOES!C:C,A157,MOVIMENTACOES!E:E,"Entrada")</f>
        <v>20</v>
      </c>
      <c r="F157" s="167">
        <f>SUMIFS(MOVIMENTACOES!F:F,MOVIMENTACOES!C:C,A157,MOVIMENTACOES!E:E,"Saída")</f>
        <v>1</v>
      </c>
      <c r="G157" s="168">
        <f t="shared" si="1"/>
        <v>19</v>
      </c>
      <c r="H157" s="169" t="str">
        <f t="shared" si="2"/>
        <v>OK</v>
      </c>
      <c r="I157" s="170" t="str">
        <f>VLOOKUP(A157, PRODUTOS!A:H, 3, FALSE)</f>
        <v>ORTOPEC ORTOPEDIA TECNICA LTDA</v>
      </c>
    </row>
    <row r="158" ht="20.25" customHeight="1">
      <c r="A158" s="70">
        <v>2.0008555E8</v>
      </c>
      <c r="B158" s="20" t="str">
        <f>VLOOKUP(A158,produto,2,0)</f>
        <v>ADAP. DUPLO ANGULADO</v>
      </c>
      <c r="C158" s="8" t="str">
        <f>IFERROR(VLOOKUP(A158,PRODUTOS!A:E,5,FALSE), "Categoria não encontrada")</f>
        <v>ORTESES E PROTESES</v>
      </c>
      <c r="D158" s="166" t="str">
        <f>IFERROR(VLOOKUP(A158,PRODUTOS!A:E,4,FALSE), "Categoria não encontrada")</f>
        <v>PÇ</v>
      </c>
      <c r="E158" s="167">
        <f>SUMIFS(MOVIMENTACOES!F:F,MOVIMENTACOES!C:C,A158,MOVIMENTACOES!E:E,"Entrada")</f>
        <v>20</v>
      </c>
      <c r="F158" s="167">
        <f>SUMIFS(MOVIMENTACOES!F:F,MOVIMENTACOES!C:C,A158,MOVIMENTACOES!E:E,"Saída")</f>
        <v>0</v>
      </c>
      <c r="G158" s="168">
        <f t="shared" si="1"/>
        <v>20</v>
      </c>
      <c r="H158" s="169" t="str">
        <f t="shared" si="2"/>
        <v>OK</v>
      </c>
      <c r="I158" s="170" t="str">
        <f>VLOOKUP(A158, PRODUTOS!A:H, 3, FALSE)</f>
        <v>ORTOPEC ORTOPEDIA TECNICA LTDA</v>
      </c>
    </row>
    <row r="159" ht="20.25" customHeight="1">
      <c r="A159" s="104">
        <v>2.00085556E8</v>
      </c>
      <c r="B159" s="20" t="str">
        <f>VLOOKUP(A159,produto,2,0)</f>
        <v>ADAP. MODULAR COM ROSCA INTERNA</v>
      </c>
      <c r="C159" s="8" t="str">
        <f>IFERROR(VLOOKUP(A159,PRODUTOS!A:E,5,FALSE), "Categoria não encontrada")</f>
        <v>ORTESES E PROTESES</v>
      </c>
      <c r="D159" s="166" t="str">
        <f>IFERROR(VLOOKUP(A159,PRODUTOS!A:E,4,FALSE), "Categoria não encontrada")</f>
        <v>UN</v>
      </c>
      <c r="E159" s="167">
        <f>SUMIFS(MOVIMENTACOES!F:F,MOVIMENTACOES!C:C,A159,MOVIMENTACOES!E:E,"Entrada")</f>
        <v>20</v>
      </c>
      <c r="F159" s="167">
        <f>SUMIFS(MOVIMENTACOES!F:F,MOVIMENTACOES!C:C,A159,MOVIMENTACOES!E:E,"Saída")</f>
        <v>0</v>
      </c>
      <c r="G159" s="168">
        <f t="shared" si="1"/>
        <v>20</v>
      </c>
      <c r="H159" s="169" t="str">
        <f t="shared" si="2"/>
        <v>OK</v>
      </c>
      <c r="I159" s="170" t="str">
        <f>VLOOKUP(A159, PRODUTOS!A:H, 3, FALSE)</f>
        <v>ORTOPEC ORTOPEDIA TECNICA LTDA</v>
      </c>
    </row>
    <row r="160" ht="20.25" customHeight="1">
      <c r="A160" s="104">
        <v>2.00085546E8</v>
      </c>
      <c r="B160" s="20" t="str">
        <f>VLOOKUP(A160,produto,2,0)</f>
        <v>ADAP. MODULAR PARA PE 004/AÇO</v>
      </c>
      <c r="C160" s="8" t="str">
        <f>IFERROR(VLOOKUP(A160,PRODUTOS!A:E,5,FALSE), "Categoria não encontrada")</f>
        <v>ORTESES E PROTESES</v>
      </c>
      <c r="D160" s="166" t="str">
        <f>IFERROR(VLOOKUP(A160,PRODUTOS!A:E,4,FALSE), "Categoria não encontrada")</f>
        <v>UN</v>
      </c>
      <c r="E160" s="167">
        <f>SUMIFS(MOVIMENTACOES!F:F,MOVIMENTACOES!C:C,A160,MOVIMENTACOES!E:E,"Entrada")</f>
        <v>20</v>
      </c>
      <c r="F160" s="167">
        <f>SUMIFS(MOVIMENTACOES!F:F,MOVIMENTACOES!C:C,A160,MOVIMENTACOES!E:E,"Saída")</f>
        <v>0</v>
      </c>
      <c r="G160" s="168">
        <f t="shared" si="1"/>
        <v>20</v>
      </c>
      <c r="H160" s="169" t="str">
        <f t="shared" si="2"/>
        <v>OK</v>
      </c>
      <c r="I160" s="170" t="str">
        <f>VLOOKUP(A160, PRODUTOS!A:H, 3, FALSE)</f>
        <v>ORTOPEC ORTOPEDIA TECNICA LTDA</v>
      </c>
    </row>
    <row r="161" ht="20.25" customHeight="1">
      <c r="A161" s="104">
        <v>2.0008557E8</v>
      </c>
      <c r="B161" s="20" t="str">
        <f>VLOOKUP(A161,produto,2,0)</f>
        <v>ADAP. TUBO C/ BRAÇADEIRA AÇO</v>
      </c>
      <c r="C161" s="8" t="str">
        <f>IFERROR(VLOOKUP(A161,PRODUTOS!A:E,5,FALSE), "Categoria não encontrada")</f>
        <v>ORTESES E PROTESES</v>
      </c>
      <c r="D161" s="166" t="str">
        <f>IFERROR(VLOOKUP(A161,PRODUTOS!A:E,4,FALSE), "Categoria não encontrada")</f>
        <v>PÇ</v>
      </c>
      <c r="E161" s="167">
        <f>SUMIFS(MOVIMENTACOES!F:F,MOVIMENTACOES!C:C,A161,MOVIMENTACOES!E:E,"Entrada")</f>
        <v>40</v>
      </c>
      <c r="F161" s="167">
        <f>SUMIFS(MOVIMENTACOES!F:F,MOVIMENTACOES!C:C,A161,MOVIMENTACOES!E:E,"Saída")</f>
        <v>0</v>
      </c>
      <c r="G161" s="168">
        <f t="shared" si="1"/>
        <v>40</v>
      </c>
      <c r="H161" s="169" t="str">
        <f t="shared" si="2"/>
        <v>OK</v>
      </c>
      <c r="I161" s="170" t="str">
        <f>VLOOKUP(A161, PRODUTOS!A:H, 3, FALSE)</f>
        <v>ORTOPEC ORTOPEDIA TECNICA LTDA</v>
      </c>
    </row>
    <row r="162" ht="20.25" customHeight="1">
      <c r="A162" s="104">
        <v>2.00085567E8</v>
      </c>
      <c r="B162" s="20" t="str">
        <f>VLOOKUP(A162,produto,2,0)</f>
        <v>ADAPTADOR COM 3 HASTES PIRAMIDE ROTATIVO </v>
      </c>
      <c r="C162" s="8" t="str">
        <f>IFERROR(VLOOKUP(A162,PRODUTOS!A:E,5,FALSE), "Categoria não encontrada")</f>
        <v>ORTESES E PROTESES</v>
      </c>
      <c r="D162" s="166" t="str">
        <f>IFERROR(VLOOKUP(A162,PRODUTOS!A:E,4,FALSE), "Categoria não encontrada")</f>
        <v>UN</v>
      </c>
      <c r="E162" s="167">
        <f>SUMIFS(MOVIMENTACOES!F:F,MOVIMENTACOES!C:C,A162,MOVIMENTACOES!E:E,"Entrada")</f>
        <v>20</v>
      </c>
      <c r="F162" s="167">
        <f>SUMIFS(MOVIMENTACOES!F:F,MOVIMENTACOES!C:C,A162,MOVIMENTACOES!E:E,"Saída")</f>
        <v>0</v>
      </c>
      <c r="G162" s="168">
        <f t="shared" si="1"/>
        <v>20</v>
      </c>
      <c r="H162" s="169" t="str">
        <f t="shared" si="2"/>
        <v>OK</v>
      </c>
      <c r="I162" s="170" t="str">
        <f>VLOOKUP(A162, PRODUTOS!A:H, 3, FALSE)</f>
        <v>ORTOPEC ORTOPEDIA TECNICA LTDA</v>
      </c>
    </row>
    <row r="163" ht="20.25" customHeight="1">
      <c r="A163" s="104">
        <v>2.00085555E8</v>
      </c>
      <c r="B163" s="20" t="str">
        <f>VLOOKUP(A163,produto,2,0)</f>
        <v>ADAPTADOR COM 3 HASTES UNICO/AÇO </v>
      </c>
      <c r="C163" s="8" t="str">
        <f>IFERROR(VLOOKUP(A163,PRODUTOS!A:E,5,FALSE), "Categoria não encontrada")</f>
        <v>ORTESES E PROTESES</v>
      </c>
      <c r="D163" s="166" t="str">
        <f>IFERROR(VLOOKUP(A163,PRODUTOS!A:E,4,FALSE), "Categoria não encontrada")</f>
        <v>PÇ</v>
      </c>
      <c r="E163" s="167">
        <f>SUMIFS(MOVIMENTACOES!F:F,MOVIMENTACOES!C:C,A163,MOVIMENTACOES!E:E,"Entrada")</f>
        <v>20</v>
      </c>
      <c r="F163" s="167">
        <f>SUMIFS(MOVIMENTACOES!F:F,MOVIMENTACOES!C:C,A163,MOVIMENTACOES!E:E,"Saída")</f>
        <v>0</v>
      </c>
      <c r="G163" s="168">
        <f t="shared" si="1"/>
        <v>20</v>
      </c>
      <c r="H163" s="169" t="str">
        <f t="shared" si="2"/>
        <v>OK</v>
      </c>
      <c r="I163" s="170" t="str">
        <f>VLOOKUP(A163, PRODUTOS!A:H, 3, FALSE)</f>
        <v>ORTOPEC ORTOPEDIA TECNICA LTDA</v>
      </c>
    </row>
    <row r="164" ht="20.25" customHeight="1">
      <c r="A164" s="104">
        <v>2.00085843E8</v>
      </c>
      <c r="B164" s="20" t="str">
        <f>VLOOKUP(A164,produto,2,0)</f>
        <v>ART. DO JOELHO DESARTICULAÇÃO LIVRE - AÇO</v>
      </c>
      <c r="C164" s="8" t="str">
        <f>IFERROR(VLOOKUP(A164,PRODUTOS!A:E,5,FALSE), "Categoria não encontrada")</f>
        <v>ORTESES E PROTESES</v>
      </c>
      <c r="D164" s="166" t="str">
        <f>IFERROR(VLOOKUP(A164,PRODUTOS!A:E,4,FALSE), "Categoria não encontrada")</f>
        <v>UN</v>
      </c>
      <c r="E164" s="167">
        <f>SUMIFS(MOVIMENTACOES!F:F,MOVIMENTACOES!C:C,A164,MOVIMENTACOES!E:E,"Entrada")</f>
        <v>20</v>
      </c>
      <c r="F164" s="167">
        <f>SUMIFS(MOVIMENTACOES!F:F,MOVIMENTACOES!C:C,A164,MOVIMENTACOES!E:E,"Saída")</f>
        <v>0</v>
      </c>
      <c r="G164" s="168">
        <f t="shared" si="1"/>
        <v>20</v>
      </c>
      <c r="H164" s="169" t="str">
        <f t="shared" si="2"/>
        <v>OK</v>
      </c>
      <c r="I164" s="170" t="str">
        <f>VLOOKUP(A164, PRODUTOS!A:H, 3, FALSE)</f>
        <v>ORTOPEC ORTOPEDIA TECNICA LTDA</v>
      </c>
    </row>
    <row r="165" ht="20.25" customHeight="1">
      <c r="A165" s="104">
        <v>2.0008588E8</v>
      </c>
      <c r="B165" s="20" t="str">
        <f>VLOOKUP(A165,produto,2,0)</f>
        <v>ART. MODULAR PARA OMBRO</v>
      </c>
      <c r="C165" s="8" t="str">
        <f>IFERROR(VLOOKUP(A165,PRODUTOS!A:E,5,FALSE), "Categoria não encontrada")</f>
        <v>ORTESES E PROTESES</v>
      </c>
      <c r="D165" s="166" t="str">
        <f>IFERROR(VLOOKUP(A165,PRODUTOS!A:E,4,FALSE), "Categoria não encontrada")</f>
        <v>UN</v>
      </c>
      <c r="E165" s="167">
        <f>SUMIFS(MOVIMENTACOES!F:F,MOVIMENTACOES!C:C,A165,MOVIMENTACOES!E:E,"Entrada")</f>
        <v>20</v>
      </c>
      <c r="F165" s="167">
        <f>SUMIFS(MOVIMENTACOES!F:F,MOVIMENTACOES!C:C,A165,MOVIMENTACOES!E:E,"Saída")</f>
        <v>0</v>
      </c>
      <c r="G165" s="168">
        <f t="shared" si="1"/>
        <v>20</v>
      </c>
      <c r="H165" s="169" t="str">
        <f t="shared" si="2"/>
        <v>OK</v>
      </c>
      <c r="I165" s="170" t="str">
        <f>VLOOKUP(A165, PRODUTOS!A:H, 3, FALSE)</f>
        <v>ORTOPEC ORTOPEDIA TECNICA LTDA</v>
      </c>
    </row>
    <row r="166" ht="20.25" customHeight="1">
      <c r="A166" s="104">
        <v>2.00085846E8</v>
      </c>
      <c r="B166" s="20" t="str">
        <f>VLOOKUP(A166,produto,2,0)</f>
        <v>ART. MODULAR QUADRIL QUATRO BARRAS UNICO/AÇO </v>
      </c>
      <c r="C166" s="8" t="str">
        <f>IFERROR(VLOOKUP(A166,PRODUTOS!A:E,5,FALSE), "Categoria não encontrada")</f>
        <v>ORTESES E PROTESES</v>
      </c>
      <c r="D166" s="166" t="str">
        <f>IFERROR(VLOOKUP(A166,PRODUTOS!A:E,4,FALSE), "Categoria não encontrada")</f>
        <v>UN</v>
      </c>
      <c r="E166" s="167">
        <f>SUMIFS(MOVIMENTACOES!F:F,MOVIMENTACOES!C:C,A166,MOVIMENTACOES!E:E,"Entrada")</f>
        <v>10</v>
      </c>
      <c r="F166" s="167">
        <f>SUMIFS(MOVIMENTACOES!F:F,MOVIMENTACOES!C:C,A166,MOVIMENTACOES!E:E,"Saída")</f>
        <v>0</v>
      </c>
      <c r="G166" s="168">
        <f t="shared" si="1"/>
        <v>10</v>
      </c>
      <c r="H166" s="169" t="str">
        <f t="shared" si="2"/>
        <v>OK</v>
      </c>
      <c r="I166" s="170" t="str">
        <f>VLOOKUP(A166, PRODUTOS!A:H, 3, FALSE)</f>
        <v>ORTOPEC ORTOPEDIA TECNICA LTDA</v>
      </c>
    </row>
    <row r="167" ht="20.25" customHeight="1">
      <c r="A167" s="104">
        <v>2.00085845E8</v>
      </c>
      <c r="B167" s="20" t="str">
        <f>VLOOKUP(A167,produto,2,0)</f>
        <v>ART. MODULAR QUADRIL QUATRO BARRAS UNICO/ALUMINIO (infantil)</v>
      </c>
      <c r="C167" s="8" t="str">
        <f>IFERROR(VLOOKUP(A167,PRODUTOS!A:E,5,FALSE), "Categoria não encontrada")</f>
        <v>ORTESES E PROTESES</v>
      </c>
      <c r="D167" s="166" t="str">
        <f>IFERROR(VLOOKUP(A167,PRODUTOS!A:E,4,FALSE), "Categoria não encontrada")</f>
        <v>UN</v>
      </c>
      <c r="E167" s="167">
        <f>SUMIFS(MOVIMENTACOES!F:F,MOVIMENTACOES!C:C,A167,MOVIMENTACOES!E:E,"Entrada")</f>
        <v>20</v>
      </c>
      <c r="F167" s="167">
        <f>SUMIFS(MOVIMENTACOES!F:F,MOVIMENTACOES!C:C,A167,MOVIMENTACOES!E:E,"Saída")</f>
        <v>0</v>
      </c>
      <c r="G167" s="168">
        <f t="shared" si="1"/>
        <v>20</v>
      </c>
      <c r="H167" s="169" t="str">
        <f t="shared" si="2"/>
        <v>OK</v>
      </c>
      <c r="I167" s="170" t="str">
        <f>VLOOKUP(A167, PRODUTOS!A:H, 3, FALSE)</f>
        <v>ORTOPEC ORTOPEDIA TECNICA LTDA</v>
      </c>
    </row>
    <row r="168" ht="20.25" customHeight="1">
      <c r="A168" s="104">
        <v>2.00085838E8</v>
      </c>
      <c r="B168" s="20" t="str">
        <f>VLOOKUP(A168,produto,2,0)</f>
        <v>ARTIC JOELHO TRAVA ANEL M2 20MM D/E/UNCIO</v>
      </c>
      <c r="C168" s="8" t="str">
        <f>IFERROR(VLOOKUP(A168,PRODUTOS!A:E,5,FALSE), "Categoria não encontrada")</f>
        <v>ORTESES E PROTESES</v>
      </c>
      <c r="D168" s="166" t="str">
        <f>IFERROR(VLOOKUP(A168,PRODUTOS!A:E,4,FALSE), "Categoria não encontrada")</f>
        <v>PÇ</v>
      </c>
      <c r="E168" s="167">
        <f>SUMIFS(MOVIMENTACOES!F:F,MOVIMENTACOES!C:C,A168,MOVIMENTACOES!E:E,"Entrada")</f>
        <v>20</v>
      </c>
      <c r="F168" s="167">
        <f>SUMIFS(MOVIMENTACOES!F:F,MOVIMENTACOES!C:C,A168,MOVIMENTACOES!E:E,"Saída")</f>
        <v>4</v>
      </c>
      <c r="G168" s="168">
        <f t="shared" si="1"/>
        <v>16</v>
      </c>
      <c r="H168" s="169" t="str">
        <f t="shared" si="2"/>
        <v>OK</v>
      </c>
      <c r="I168" s="170" t="str">
        <f>VLOOKUP(A168, PRODUTOS!A:H, 3, FALSE)</f>
        <v>ORTOPEC ORTOPEDIA TECNICA LTDA</v>
      </c>
    </row>
    <row r="169" ht="20.25" customHeight="1">
      <c r="A169" s="36">
        <v>2.00000094E8</v>
      </c>
      <c r="B169" s="20" t="str">
        <f>VLOOKUP(A169,produto,2,0)</f>
        <v>CONE DE PVC PARA LAMINAÇÃO (P)</v>
      </c>
      <c r="C169" s="8" t="str">
        <f>IFERROR(VLOOKUP(A169,PRODUTOS!A:E,5,FALSE), "Categoria não encontrada")</f>
        <v>ORTESES E PROTESES</v>
      </c>
      <c r="D169" s="166" t="str">
        <f>IFERROR(VLOOKUP(A169,PRODUTOS!A:E,4,FALSE), "Categoria não encontrada")</f>
        <v>UN</v>
      </c>
      <c r="E169" s="166">
        <f>SUMIFS(MOVIMENTACOES!F:F,MOVIMENTACOES!C:C,A169,MOVIMENTACOES!E:E,"Entrada")</f>
        <v>10</v>
      </c>
      <c r="F169" s="166">
        <f>SUMIFS(MOVIMENTACOES!F:F,MOVIMENTACOES!C:C,A169,MOVIMENTACOES!E:E,"Saída")</f>
        <v>1</v>
      </c>
      <c r="G169" s="168">
        <f t="shared" si="1"/>
        <v>9</v>
      </c>
      <c r="H169" s="169" t="str">
        <f t="shared" si="2"/>
        <v>OK</v>
      </c>
      <c r="I169" s="170" t="str">
        <f>VLOOKUP(A169, PRODUTOS!A:H, 3, FALSE)</f>
        <v>SES - Secretaria de Estado da Saude</v>
      </c>
    </row>
    <row r="170" ht="20.25" customHeight="1">
      <c r="A170" s="36">
        <v>2.00000093E8</v>
      </c>
      <c r="B170" s="20" t="str">
        <f>VLOOKUP(A170,produto,2,0)</f>
        <v>CONE DE PVC PARA LAMINAÇÃO (M)</v>
      </c>
      <c r="C170" s="8" t="str">
        <f>IFERROR(VLOOKUP(A170,PRODUTOS!A:E,5,FALSE), "Categoria não encontrada")</f>
        <v>ORTESES E PROTESES</v>
      </c>
      <c r="D170" s="166" t="str">
        <f>IFERROR(VLOOKUP(A170,PRODUTOS!A:E,4,FALSE), "Categoria não encontrada")</f>
        <v>UN</v>
      </c>
      <c r="E170" s="166">
        <f>SUMIFS(MOVIMENTACOES!F:F,MOVIMENTACOES!C:C,A170,MOVIMENTACOES!E:E,"Entrada")</f>
        <v>10</v>
      </c>
      <c r="F170" s="166">
        <f>SUMIFS(MOVIMENTACOES!F:F,MOVIMENTACOES!C:C,A170,MOVIMENTACOES!E:E,"Saída")</f>
        <v>1</v>
      </c>
      <c r="G170" s="168">
        <f t="shared" si="1"/>
        <v>9</v>
      </c>
      <c r="H170" s="169" t="str">
        <f t="shared" si="2"/>
        <v>OK</v>
      </c>
      <c r="I170" s="170" t="str">
        <f>VLOOKUP(A170, PRODUTOS!A:H, 3, FALSE)</f>
        <v>SES - Secretaria de Estado da Saude</v>
      </c>
    </row>
    <row r="171" ht="20.25" customHeight="1">
      <c r="A171" s="36">
        <v>2.00000092E8</v>
      </c>
      <c r="B171" s="20" t="str">
        <f>VLOOKUP(A171,produto,2,0)</f>
        <v>CONE DE PVC PARA LAMINAÇÃO (G)</v>
      </c>
      <c r="C171" s="8" t="str">
        <f>IFERROR(VLOOKUP(A171,PRODUTOS!A:E,5,FALSE), "Categoria não encontrada")</f>
        <v>ORTESES E PROTESES</v>
      </c>
      <c r="D171" s="166" t="str">
        <f>IFERROR(VLOOKUP(A171,PRODUTOS!A:E,4,FALSE), "Categoria não encontrada")</f>
        <v>UN</v>
      </c>
      <c r="E171" s="166">
        <f>SUMIFS(MOVIMENTACOES!F:F,MOVIMENTACOES!C:C,A171,MOVIMENTACOES!E:E,"Entrada")</f>
        <v>10</v>
      </c>
      <c r="F171" s="166">
        <f>SUMIFS(MOVIMENTACOES!F:F,MOVIMENTACOES!C:C,A171,MOVIMENTACOES!E:E,"Saída")</f>
        <v>1</v>
      </c>
      <c r="G171" s="168">
        <f t="shared" si="1"/>
        <v>9</v>
      </c>
      <c r="H171" s="169" t="str">
        <f t="shared" si="2"/>
        <v>OK</v>
      </c>
      <c r="I171" s="170" t="str">
        <f>VLOOKUP(A171, PRODUTOS!A:H, 3, FALSE)</f>
        <v>SES - Secretaria de Estado da Saude</v>
      </c>
    </row>
    <row r="172" ht="20.25" customHeight="1">
      <c r="A172" s="36">
        <v>2.0000009E8</v>
      </c>
      <c r="B172" s="20" t="str">
        <f>VLOOKUP(A172,produto,2,0)</f>
        <v>(MTA-15)MALHA ORTOPEDICA TUBULAR EM FIO DE ALGODÃO 15cm</v>
      </c>
      <c r="C172" s="8" t="str">
        <f>IFERROR(VLOOKUP(A172,PRODUTOS!A:E,5,FALSE), "Categoria não encontrada")</f>
        <v>ORTESES E PROTESES</v>
      </c>
      <c r="D172" s="166" t="str">
        <f>IFERROR(VLOOKUP(A172,PRODUTOS!A:E,4,FALSE), "Categoria não encontrada")</f>
        <v>UN</v>
      </c>
      <c r="E172" s="166">
        <f>SUMIFS(MOVIMENTACOES!F:F,MOVIMENTACOES!C:C,A172,MOVIMENTACOES!E:E,"Entrada")</f>
        <v>4</v>
      </c>
      <c r="F172" s="166">
        <f>SUMIFS(MOVIMENTACOES!F:F,MOVIMENTACOES!C:C,A172,MOVIMENTACOES!E:E,"Saída")</f>
        <v>0</v>
      </c>
      <c r="G172" s="168">
        <f t="shared" si="1"/>
        <v>4</v>
      </c>
      <c r="H172" s="169" t="str">
        <f t="shared" si="2"/>
        <v>OK</v>
      </c>
      <c r="I172" s="170" t="str">
        <f>VLOOKUP(A172, PRODUTOS!A:H, 3, FALSE)</f>
        <v>SES - Secretaria de Estado da Saude</v>
      </c>
    </row>
    <row r="173" ht="20.25" customHeight="1">
      <c r="A173" s="36">
        <v>2.00000089E8</v>
      </c>
      <c r="B173" s="20" t="str">
        <f>VLOOKUP(A173,produto,2,0)</f>
        <v>(MTA-10)MALHA ORTOPEDICA TUBULAR EM FIO DE ALGODÃO 10cm</v>
      </c>
      <c r="C173" s="8" t="str">
        <f>IFERROR(VLOOKUP(A173,PRODUTOS!A:E,5,FALSE), "Categoria não encontrada")</f>
        <v>ORTESES E PROTESES</v>
      </c>
      <c r="D173" s="166" t="str">
        <f>IFERROR(VLOOKUP(A173,PRODUTOS!A:E,4,FALSE), "Categoria não encontrada")</f>
        <v>UN</v>
      </c>
      <c r="E173" s="166">
        <f>SUMIFS(MOVIMENTACOES!F:F,MOVIMENTACOES!C:C,A173,MOVIMENTACOES!E:E,"Entrada")</f>
        <v>20</v>
      </c>
      <c r="F173" s="166">
        <f>SUMIFS(MOVIMENTACOES!F:F,MOVIMENTACOES!C:C,A173,MOVIMENTACOES!E:E,"Saída")</f>
        <v>0</v>
      </c>
      <c r="G173" s="168">
        <f t="shared" si="1"/>
        <v>20</v>
      </c>
      <c r="H173" s="169" t="str">
        <f t="shared" si="2"/>
        <v>OK</v>
      </c>
      <c r="I173" s="170" t="str">
        <f>VLOOKUP(A173, PRODUTOS!A:H, 3, FALSE)</f>
        <v>SES - Secretaria de Estado da Saude</v>
      </c>
    </row>
    <row r="174" ht="20.25" customHeight="1">
      <c r="A174" s="36">
        <v>2.00000086E8</v>
      </c>
      <c r="B174" s="20" t="str">
        <f>VLOOKUP(A174,produto,2,0)</f>
        <v>(MTP-6)MALHA TUBULAR POLIESTER 6CM</v>
      </c>
      <c r="C174" s="8" t="str">
        <f>IFERROR(VLOOKUP(A174,PRODUTOS!A:E,5,FALSE), "Categoria não encontrada")</f>
        <v>ORTESES E PROTESES</v>
      </c>
      <c r="D174" s="166" t="str">
        <f>IFERROR(VLOOKUP(A174,PRODUTOS!A:E,4,FALSE), "Categoria não encontrada")</f>
        <v>UN</v>
      </c>
      <c r="E174" s="166">
        <f>SUMIFS(MOVIMENTACOES!F:F,MOVIMENTACOES!C:C,A174,MOVIMENTACOES!E:E,"Entrada")</f>
        <v>5</v>
      </c>
      <c r="F174" s="166">
        <f>SUMIFS(MOVIMENTACOES!F:F,MOVIMENTACOES!C:C,A174,MOVIMENTACOES!E:E,"Saída")</f>
        <v>0</v>
      </c>
      <c r="G174" s="168">
        <f t="shared" si="1"/>
        <v>5</v>
      </c>
      <c r="H174" s="169" t="str">
        <f t="shared" si="2"/>
        <v>OK</v>
      </c>
      <c r="I174" s="170" t="str">
        <f>VLOOKUP(A174, PRODUTOS!A:H, 3, FALSE)</f>
        <v>SES - Secretaria de Estado da Saude</v>
      </c>
    </row>
    <row r="175" ht="20.25" customHeight="1">
      <c r="A175" s="36">
        <v>2.00000087E8</v>
      </c>
      <c r="B175" s="20" t="str">
        <f>VLOOKUP(A175,produto,2,0)</f>
        <v>(MTP-8)MALHA TUBULAR POLIESTER 8CM</v>
      </c>
      <c r="C175" s="8" t="str">
        <f>IFERROR(VLOOKUP(A175,PRODUTOS!A:E,5,FALSE), "Categoria não encontrada")</f>
        <v>ORTESES E PROTESES</v>
      </c>
      <c r="D175" s="166" t="str">
        <f>IFERROR(VLOOKUP(A175,PRODUTOS!A:E,4,FALSE), "Categoria não encontrada")</f>
        <v>UN</v>
      </c>
      <c r="E175" s="166">
        <f>SUMIFS(MOVIMENTACOES!F:F,MOVIMENTACOES!C:C,A175,MOVIMENTACOES!E:E,"Entrada")</f>
        <v>5</v>
      </c>
      <c r="F175" s="166">
        <f>SUMIFS(MOVIMENTACOES!F:F,MOVIMENTACOES!C:C,A175,MOVIMENTACOES!E:E,"Saída")</f>
        <v>0</v>
      </c>
      <c r="G175" s="168">
        <f t="shared" si="1"/>
        <v>5</v>
      </c>
      <c r="H175" s="169" t="str">
        <f t="shared" si="2"/>
        <v>OK</v>
      </c>
      <c r="I175" s="170" t="str">
        <f>VLOOKUP(A175, PRODUTOS!A:H, 3, FALSE)</f>
        <v>SES - Secretaria de Estado da Saude</v>
      </c>
    </row>
    <row r="176" ht="20.25" customHeight="1">
      <c r="A176" s="36">
        <v>2.00000088E8</v>
      </c>
      <c r="B176" s="20" t="str">
        <f>VLOOKUP(A176,produto,2,0)</f>
        <v>(MTP-10)MALHA ORTOPEDICA TUBULAR 10CM</v>
      </c>
      <c r="C176" s="8" t="str">
        <f>IFERROR(VLOOKUP(A176,PRODUTOS!A:E,5,FALSE), "Categoria não encontrada")</f>
        <v>ORTESES E PROTESES</v>
      </c>
      <c r="D176" s="166" t="str">
        <f>IFERROR(VLOOKUP(A176,PRODUTOS!A:E,4,FALSE), "Categoria não encontrada")</f>
        <v>UN</v>
      </c>
      <c r="E176" s="166">
        <f>SUMIFS(MOVIMENTACOES!F:F,MOVIMENTACOES!C:C,A176,MOVIMENTACOES!E:E,"Entrada")</f>
        <v>7</v>
      </c>
      <c r="F176" s="166">
        <f>SUMIFS(MOVIMENTACOES!F:F,MOVIMENTACOES!C:C,A176,MOVIMENTACOES!E:E,"Saída")</f>
        <v>2</v>
      </c>
      <c r="G176" s="168">
        <f t="shared" si="1"/>
        <v>5</v>
      </c>
      <c r="H176" s="169" t="str">
        <f t="shared" si="2"/>
        <v>OK</v>
      </c>
      <c r="I176" s="170" t="str">
        <f>VLOOKUP(A176, PRODUTOS!A:H, 3, FALSE)</f>
        <v>SES - Secretaria de Estado da Saude</v>
      </c>
    </row>
    <row r="177" ht="20.25" customHeight="1">
      <c r="A177" s="36">
        <v>2.00000085E8</v>
      </c>
      <c r="B177" s="20" t="str">
        <f>VLOOKUP(A177,produto,2,0)</f>
        <v>(MTP-15)MALHA ORTOPEDICA TUBULAR 15CM</v>
      </c>
      <c r="C177" s="8" t="str">
        <f>IFERROR(VLOOKUP(A177,PRODUTOS!A:E,5,FALSE), "Categoria não encontrada")</f>
        <v>ORTESES E PROTESES</v>
      </c>
      <c r="D177" s="166" t="str">
        <f>IFERROR(VLOOKUP(A177,PRODUTOS!A:E,4,FALSE), "Categoria não encontrada")</f>
        <v>UN</v>
      </c>
      <c r="E177" s="166">
        <f>SUMIFS(MOVIMENTACOES!F:F,MOVIMENTACOES!C:C,A177,MOVIMENTACOES!E:E,"Entrada")</f>
        <v>5</v>
      </c>
      <c r="F177" s="166">
        <f>SUMIFS(MOVIMENTACOES!F:F,MOVIMENTACOES!C:C,A177,MOVIMENTACOES!E:E,"Saída")</f>
        <v>0</v>
      </c>
      <c r="G177" s="168">
        <f t="shared" si="1"/>
        <v>5</v>
      </c>
      <c r="H177" s="169" t="str">
        <f t="shared" si="2"/>
        <v>OK</v>
      </c>
      <c r="I177" s="170" t="str">
        <f>VLOOKUP(A177, PRODUTOS!A:H, 3, FALSE)</f>
        <v>SES - Secretaria de Estado da Saude</v>
      </c>
    </row>
    <row r="178" ht="20.25" customHeight="1">
      <c r="A178" s="36">
        <v>2.00000084E8</v>
      </c>
      <c r="B178" s="20" t="str">
        <f>VLOOKUP(A178,produto,2,0)</f>
        <v>(MTP-20)MALHA TUBULAR POLIESTER 20CM</v>
      </c>
      <c r="C178" s="8" t="str">
        <f>IFERROR(VLOOKUP(A178,PRODUTOS!A:E,5,FALSE), "Categoria não encontrada")</f>
        <v>ORTESES E PROTESES</v>
      </c>
      <c r="D178" s="166" t="str">
        <f>IFERROR(VLOOKUP(A178,PRODUTOS!A:E,4,FALSE), "Categoria não encontrada")</f>
        <v>UN</v>
      </c>
      <c r="E178" s="166">
        <f>SUMIFS(MOVIMENTACOES!F:F,MOVIMENTACOES!C:C,A178,MOVIMENTACOES!E:E,"Entrada")</f>
        <v>5</v>
      </c>
      <c r="F178" s="166">
        <f>SUMIFS(MOVIMENTACOES!F:F,MOVIMENTACOES!C:C,A178,MOVIMENTACOES!E:E,"Saída")</f>
        <v>0</v>
      </c>
      <c r="G178" s="168">
        <f t="shared" si="1"/>
        <v>5</v>
      </c>
      <c r="H178" s="169" t="str">
        <f t="shared" si="2"/>
        <v>OK</v>
      </c>
      <c r="I178" s="170" t="str">
        <f>VLOOKUP(A178, PRODUTOS!A:H, 3, FALSE)</f>
        <v>SES - Secretaria de Estado da Saude</v>
      </c>
    </row>
    <row r="179" ht="20.25" customHeight="1">
      <c r="A179" s="36">
        <v>2.00000083E8</v>
      </c>
      <c r="B179" s="20" t="str">
        <f>VLOOKUP(A179,produto,2,0)</f>
        <v>MANTA FIBRA DE VIDRO</v>
      </c>
      <c r="C179" s="8" t="str">
        <f>IFERROR(VLOOKUP(A179,PRODUTOS!A:E,5,FALSE), "Categoria não encontrada")</f>
        <v>ORTESES E PROTESES</v>
      </c>
      <c r="D179" s="166" t="str">
        <f>IFERROR(VLOOKUP(A179,PRODUTOS!A:E,4,FALSE), "Categoria não encontrada")</f>
        <v>UN</v>
      </c>
      <c r="E179" s="166">
        <f>SUMIFS(MOVIMENTACOES!F:F,MOVIMENTACOES!C:C,A179,MOVIMENTACOES!E:E,"Entrada")</f>
        <v>20</v>
      </c>
      <c r="F179" s="166">
        <f>SUMIFS(MOVIMENTACOES!F:F,MOVIMENTACOES!C:C,A179,MOVIMENTACOES!E:E,"Saída")</f>
        <v>3</v>
      </c>
      <c r="G179" s="168">
        <f t="shared" si="1"/>
        <v>17</v>
      </c>
      <c r="H179" s="169" t="str">
        <f t="shared" si="2"/>
        <v>OK</v>
      </c>
      <c r="I179" s="170" t="str">
        <f>VLOOKUP(A179, PRODUTOS!A:H, 3, FALSE)</f>
        <v>SES - Secretaria de Estado da Saude</v>
      </c>
    </row>
    <row r="180" ht="20.25" customHeight="1">
      <c r="A180" s="36">
        <v>2.00000082E8</v>
      </c>
      <c r="B180" s="20" t="str">
        <f>VLOOKUP(A180,produto,2,0)</f>
        <v>VALVULA DE SUCÇÃO EM BORRACHA</v>
      </c>
      <c r="C180" s="8" t="str">
        <f>IFERROR(VLOOKUP(A180,PRODUTOS!A:E,5,FALSE), "Categoria não encontrada")</f>
        <v>ORTESES E PROTESES</v>
      </c>
      <c r="D180" s="166" t="str">
        <f>IFERROR(VLOOKUP(A180,PRODUTOS!A:E,4,FALSE), "Categoria não encontrada")</f>
        <v>UN</v>
      </c>
      <c r="E180" s="166">
        <f>SUMIFS(MOVIMENTACOES!F:F,MOVIMENTACOES!C:C,A180,MOVIMENTACOES!E:E,"Entrada")</f>
        <v>10</v>
      </c>
      <c r="F180" s="166">
        <f>SUMIFS(MOVIMENTACOES!F:F,MOVIMENTACOES!C:C,A180,MOVIMENTACOES!E:E,"Saída")</f>
        <v>1</v>
      </c>
      <c r="G180" s="168">
        <f t="shared" si="1"/>
        <v>9</v>
      </c>
      <c r="H180" s="169" t="str">
        <f t="shared" si="2"/>
        <v>OK</v>
      </c>
      <c r="I180" s="170" t="str">
        <f>VLOOKUP(A180, PRODUTOS!A:H, 3, FALSE)</f>
        <v>SES - Secretaria de Estado da Saude</v>
      </c>
    </row>
    <row r="181" ht="20.25" customHeight="1">
      <c r="A181" s="36">
        <v>2.00000081E8</v>
      </c>
      <c r="B181" s="20" t="str">
        <f>VLOOKUP(A181,produto,2,0)</f>
        <v>ATADURA GESSADA 20cm x 2m, cx com 10 und</v>
      </c>
      <c r="C181" s="8" t="str">
        <f>IFERROR(VLOOKUP(A181,PRODUTOS!A:E,5,FALSE), "Categoria não encontrada")</f>
        <v>ORTESES E PROTESES</v>
      </c>
      <c r="D181" s="166" t="str">
        <f>IFERROR(VLOOKUP(A181,PRODUTOS!A:E,4,FALSE), "Categoria não encontrada")</f>
        <v>CX</v>
      </c>
      <c r="E181" s="166">
        <f>SUMIFS(MOVIMENTACOES!F:F,MOVIMENTACOES!C:C,A181,MOVIMENTACOES!E:E,"Entrada")</f>
        <v>6</v>
      </c>
      <c r="F181" s="166">
        <f>SUMIFS(MOVIMENTACOES!F:F,MOVIMENTACOES!C:C,A181,MOVIMENTACOES!E:E,"Saída")</f>
        <v>2</v>
      </c>
      <c r="G181" s="168">
        <f t="shared" si="1"/>
        <v>4</v>
      </c>
      <c r="H181" s="169" t="str">
        <f t="shared" si="2"/>
        <v>OK</v>
      </c>
      <c r="I181" s="170" t="str">
        <f>VLOOKUP(A181, PRODUTOS!A:H, 3, FALSE)</f>
        <v>SES - Secretaria de Estado da Saude</v>
      </c>
    </row>
    <row r="182" ht="20.25" customHeight="1">
      <c r="A182" s="36">
        <v>2.0000008E8</v>
      </c>
      <c r="B182" s="20" t="str">
        <f>VLOOKUP(A182,produto,2,0)</f>
        <v>ATADURA GESSADA 15cm x 2m, cx com 10 und</v>
      </c>
      <c r="C182" s="8" t="str">
        <f>IFERROR(VLOOKUP(A182,PRODUTOS!A:E,5,FALSE), "Categoria não encontrada")</f>
        <v>ORTESES E PROTESES</v>
      </c>
      <c r="D182" s="166" t="str">
        <f>IFERROR(VLOOKUP(A182,PRODUTOS!A:E,4,FALSE), "Categoria não encontrada")</f>
        <v>CX</v>
      </c>
      <c r="E182" s="166">
        <f>SUMIFS(MOVIMENTACOES!F:F,MOVIMENTACOES!C:C,A182,MOVIMENTACOES!E:E,"Entrada")</f>
        <v>6</v>
      </c>
      <c r="F182" s="166">
        <f>SUMIFS(MOVIMENTACOES!F:F,MOVIMENTACOES!C:C,A182,MOVIMENTACOES!E:E,"Saída")</f>
        <v>1</v>
      </c>
      <c r="G182" s="168">
        <f t="shared" si="1"/>
        <v>5</v>
      </c>
      <c r="H182" s="169" t="str">
        <f t="shared" si="2"/>
        <v>OK</v>
      </c>
      <c r="I182" s="170" t="str">
        <f>VLOOKUP(A182, PRODUTOS!A:H, 3, FALSE)</f>
        <v>SES - Secretaria de Estado da Saude</v>
      </c>
    </row>
    <row r="183" ht="20.25" customHeight="1">
      <c r="A183" s="36">
        <v>2.00000042E8</v>
      </c>
      <c r="B183" s="20" t="str">
        <f>VLOOKUP(A183,produto,2,0)</f>
        <v>CHAPA polipropileno ortopédico natural Medidas 2,000x1000x3mm</v>
      </c>
      <c r="C183" s="8" t="str">
        <f>IFERROR(VLOOKUP(A183,PRODUTOS!A:E,5,FALSE), "Categoria não encontrada")</f>
        <v>ORTESES E PROTESES</v>
      </c>
      <c r="D183" s="166" t="str">
        <f>IFERROR(VLOOKUP(A183,PRODUTOS!A:E,4,FALSE), "Categoria não encontrada")</f>
        <v>MT</v>
      </c>
      <c r="E183" s="166">
        <f>SUMIFS(MOVIMENTACOES!F:F,MOVIMENTACOES!C:C,A183,MOVIMENTACOES!E:E,"Entrada")</f>
        <v>40</v>
      </c>
      <c r="F183" s="166">
        <f>SUMIFS(MOVIMENTACOES!F:F,MOVIMENTACOES!C:C,A183,MOVIMENTACOES!E:E,"Saída")</f>
        <v>0</v>
      </c>
      <c r="G183" s="168">
        <f t="shared" si="1"/>
        <v>40</v>
      </c>
      <c r="H183" s="169" t="str">
        <f t="shared" si="2"/>
        <v>OK</v>
      </c>
      <c r="I183" s="170" t="str">
        <f>VLOOKUP(A183, PRODUTOS!A:H, 3, FALSE)</f>
        <v/>
      </c>
    </row>
    <row r="184" ht="20.25" customHeight="1">
      <c r="A184" s="36">
        <v>2.00000043E8</v>
      </c>
      <c r="B184" s="20" t="str">
        <f>VLOOKUP(A184,produto,2,0)</f>
        <v>CHAPA polipropileno ortopédico natural Medidas 2,000x1000x4mm</v>
      </c>
      <c r="C184" s="8" t="str">
        <f>IFERROR(VLOOKUP(A184,PRODUTOS!A:E,5,FALSE), "Categoria não encontrada")</f>
        <v>ORTESES E PROTESES</v>
      </c>
      <c r="D184" s="166" t="str">
        <f>IFERROR(VLOOKUP(A184,PRODUTOS!A:E,4,FALSE), "Categoria não encontrada")</f>
        <v>MT</v>
      </c>
      <c r="E184" s="166">
        <f>SUMIFS(MOVIMENTACOES!F:F,MOVIMENTACOES!C:C,A184,MOVIMENTACOES!E:E,"Entrada")</f>
        <v>40</v>
      </c>
      <c r="F184" s="166">
        <f>SUMIFS(MOVIMENTACOES!F:F,MOVIMENTACOES!C:C,A184,MOVIMENTACOES!E:E,"Saída")</f>
        <v>0</v>
      </c>
      <c r="G184" s="168">
        <f t="shared" si="1"/>
        <v>40</v>
      </c>
      <c r="H184" s="169" t="str">
        <f t="shared" si="2"/>
        <v>OK</v>
      </c>
      <c r="I184" s="173" t="s">
        <v>27</v>
      </c>
    </row>
    <row r="185" ht="20.25" customHeight="1">
      <c r="A185" s="36">
        <v>2.00000044E8</v>
      </c>
      <c r="B185" s="20" t="str">
        <f>VLOOKUP(A185,produto,2,0)</f>
        <v>CHAPA polipropileno ortopédico natural Medidas 2,000x1000x5mm</v>
      </c>
      <c r="C185" s="8" t="str">
        <f>IFERROR(VLOOKUP(A185,PRODUTOS!A:E,5,FALSE), "Categoria não encontrada")</f>
        <v>ORTESES E PROTESES</v>
      </c>
      <c r="D185" s="166" t="str">
        <f>IFERROR(VLOOKUP(A185,PRODUTOS!A:E,4,FALSE), "Categoria não encontrada")</f>
        <v>MT</v>
      </c>
      <c r="E185" s="166">
        <f>SUMIFS(MOVIMENTACOES!F:F,MOVIMENTACOES!C:C,A185,MOVIMENTACOES!E:E,"Entrada")</f>
        <v>36</v>
      </c>
      <c r="F185" s="166">
        <f>SUMIFS(MOVIMENTACOES!F:F,MOVIMENTACOES!C:C,A185,MOVIMENTACOES!E:E,"Saída")</f>
        <v>1.5</v>
      </c>
      <c r="G185" s="168">
        <f t="shared" si="1"/>
        <v>34.5</v>
      </c>
      <c r="H185" s="169" t="str">
        <f t="shared" si="2"/>
        <v>OK</v>
      </c>
      <c r="I185" s="173" t="s">
        <v>27</v>
      </c>
    </row>
    <row r="186" ht="20.25" customHeight="1">
      <c r="A186" s="180">
        <v>2.00085852E8</v>
      </c>
      <c r="B186" s="20" t="str">
        <f>VLOOKUP(A186,produto,2,0)</f>
        <v>COTOVELO MODULAR COM TRAVA PASSIVA</v>
      </c>
      <c r="C186" s="8" t="str">
        <f>IFERROR(VLOOKUP(A186,PRODUTOS!A:E,5,FALSE), "Categoria não encontrada")</f>
        <v>ORTESES E PROTESES</v>
      </c>
      <c r="D186" s="166" t="str">
        <f>IFERROR(VLOOKUP(A186,PRODUTOS!A:E,4,FALSE), "Categoria não encontrada")</f>
        <v>UN</v>
      </c>
      <c r="E186" s="167">
        <f>SUMIFS(MOVIMENTACOES!F:F,MOVIMENTACOES!C:C,A186,MOVIMENTACOES!E:E,"Entrada")</f>
        <v>10</v>
      </c>
      <c r="F186" s="167">
        <f>SUMIFS(MOVIMENTACOES!F:F,MOVIMENTACOES!C:C,A186,MOVIMENTACOES!E:E,"Saída")</f>
        <v>0</v>
      </c>
      <c r="G186" s="168">
        <f t="shared" si="1"/>
        <v>10</v>
      </c>
      <c r="H186" s="169" t="str">
        <f t="shared" si="2"/>
        <v>OK</v>
      </c>
      <c r="I186" s="170" t="str">
        <f>VLOOKUP(A186, PRODUTOS!A:H, 3, FALSE)</f>
        <v>ORTOPEC ORTOPEDIA TECNICA LTDA</v>
      </c>
    </row>
    <row r="187" ht="20.25" customHeight="1">
      <c r="A187" s="104">
        <v>2.00085538E8</v>
      </c>
      <c r="B187" s="20" t="str">
        <f>VLOOKUP(A187,produto,2,0)</f>
        <v>DILEFIT - ACESS. P/ COLOCAR PROTESE GRANDE</v>
      </c>
      <c r="C187" s="8" t="str">
        <f>IFERROR(VLOOKUP(A187,PRODUTOS!A:E,5,FALSE), "Categoria não encontrada")</f>
        <v>ORTESES E PROTESES</v>
      </c>
      <c r="D187" s="166" t="str">
        <f>IFERROR(VLOOKUP(A187,PRODUTOS!A:E,4,FALSE), "Categoria não encontrada")</f>
        <v>UN</v>
      </c>
      <c r="E187" s="167">
        <f>SUMIFS(MOVIMENTACOES!F:F,MOVIMENTACOES!C:C,A187,MOVIMENTACOES!E:E,"Entrada")</f>
        <v>20</v>
      </c>
      <c r="F187" s="167">
        <f>SUMIFS(MOVIMENTACOES!F:F,MOVIMENTACOES!C:C,A187,MOVIMENTACOES!E:E,"Saída")</f>
        <v>0</v>
      </c>
      <c r="G187" s="168">
        <f t="shared" si="1"/>
        <v>20</v>
      </c>
      <c r="H187" s="169" t="str">
        <f t="shared" si="2"/>
        <v>OK</v>
      </c>
      <c r="I187" s="170" t="str">
        <f>VLOOKUP(A187, PRODUTOS!A:H, 3, FALSE)</f>
        <v>ORTOPEC ORTOPEDIA TECNICA LTDA</v>
      </c>
    </row>
    <row r="188" ht="20.25" customHeight="1">
      <c r="A188" s="104">
        <v>2.00085539E8</v>
      </c>
      <c r="B188" s="20" t="str">
        <f>VLOOKUP(A188,produto,2,0)</f>
        <v>DILEFIT - ACESS. P/ COLOCAR PROTESE MEDIO</v>
      </c>
      <c r="C188" s="8" t="str">
        <f>IFERROR(VLOOKUP(A188,PRODUTOS!A:E,5,FALSE), "Categoria não encontrada")</f>
        <v>ORTESES E PROTESES</v>
      </c>
      <c r="D188" s="166" t="str">
        <f>IFERROR(VLOOKUP(A188,PRODUTOS!A:E,4,FALSE), "Categoria não encontrada")</f>
        <v>UN</v>
      </c>
      <c r="E188" s="167">
        <f>SUMIFS(MOVIMENTACOES!F:F,MOVIMENTACOES!C:C,A188,MOVIMENTACOES!E:E,"Entrada")</f>
        <v>20</v>
      </c>
      <c r="F188" s="167">
        <f>SUMIFS(MOVIMENTACOES!F:F,MOVIMENTACOES!C:C,A188,MOVIMENTACOES!E:E,"Saída")</f>
        <v>0</v>
      </c>
      <c r="G188" s="168">
        <f t="shared" si="1"/>
        <v>20</v>
      </c>
      <c r="H188" s="169" t="str">
        <f t="shared" si="2"/>
        <v>OK</v>
      </c>
      <c r="I188" s="170" t="str">
        <f>VLOOKUP(A188, PRODUTOS!A:H, 3, FALSE)</f>
        <v>ORTOPEC ORTOPEDIA TECNICA LTDA</v>
      </c>
    </row>
    <row r="189" ht="20.25" customHeight="1">
      <c r="A189" s="104" t="s">
        <v>417</v>
      </c>
      <c r="B189" s="20" t="str">
        <f>VLOOKUP(A189,produto,2,0)</f>
        <v>DISTRATOR EX/GRANDE</v>
      </c>
      <c r="C189" s="8" t="str">
        <f>IFERROR(VLOOKUP(A189,PRODUTOS!A:E,5,FALSE), "Categoria não encontrada")</f>
        <v>ORTESES E PROTESES</v>
      </c>
      <c r="D189" s="166" t="str">
        <f>IFERROR(VLOOKUP(A189,PRODUTOS!A:E,4,FALSE), "Categoria não encontrada")</f>
        <v>UN</v>
      </c>
      <c r="E189" s="167">
        <f>SUMIFS(MOVIMENTACOES!F:F,MOVIMENTACOES!C:C,A189,MOVIMENTACOES!E:E,"Entrada")</f>
        <v>20</v>
      </c>
      <c r="F189" s="167">
        <f>SUMIFS(MOVIMENTACOES!F:F,MOVIMENTACOES!C:C,A189,MOVIMENTACOES!E:E,"Saída")</f>
        <v>0</v>
      </c>
      <c r="G189" s="168">
        <f t="shared" si="1"/>
        <v>20</v>
      </c>
      <c r="H189" s="169" t="str">
        <f t="shared" si="2"/>
        <v>OK</v>
      </c>
      <c r="I189" s="170" t="str">
        <f>VLOOKUP(A189, PRODUTOS!A:H, 3, FALSE)</f>
        <v>ORTOPEC ORTOPEDIA TECNICA LTDA</v>
      </c>
    </row>
    <row r="190" ht="20.25" customHeight="1">
      <c r="A190" s="104" t="s">
        <v>420</v>
      </c>
      <c r="B190" s="20" t="str">
        <f>VLOOKUP(A190,produto,2,0)</f>
        <v>DISTRATOR GRANDE</v>
      </c>
      <c r="C190" s="8" t="str">
        <f>IFERROR(VLOOKUP(A190,PRODUTOS!A:E,5,FALSE), "Categoria não encontrada")</f>
        <v>ORTESES E PROTESES</v>
      </c>
      <c r="D190" s="166" t="str">
        <f>IFERROR(VLOOKUP(A190,PRODUTOS!A:E,4,FALSE), "Categoria não encontrada")</f>
        <v>UN</v>
      </c>
      <c r="E190" s="167">
        <f>SUMIFS(MOVIMENTACOES!F:F,MOVIMENTACOES!C:C,A190,MOVIMENTACOES!E:E,"Entrada")</f>
        <v>80</v>
      </c>
      <c r="F190" s="167">
        <f>SUMIFS(MOVIMENTACOES!F:F,MOVIMENTACOES!C:C,A190,MOVIMENTACOES!E:E,"Saída")</f>
        <v>0</v>
      </c>
      <c r="G190" s="168">
        <f t="shared" si="1"/>
        <v>80</v>
      </c>
      <c r="H190" s="169" t="str">
        <f t="shared" si="2"/>
        <v>OK</v>
      </c>
      <c r="I190" s="170" t="str">
        <f>VLOOKUP(A190, PRODUTOS!A:H, 3, FALSE)</f>
        <v>ORTOPEC ORTOPEDIA TECNICA LTDA</v>
      </c>
    </row>
    <row r="191" ht="20.25" customHeight="1">
      <c r="A191" s="104" t="s">
        <v>422</v>
      </c>
      <c r="B191" s="20" t="str">
        <f>VLOOKUP(A191,produto,2,0)</f>
        <v>DISTRATOR MEDIO</v>
      </c>
      <c r="C191" s="8" t="str">
        <f>IFERROR(VLOOKUP(A191,PRODUTOS!A:E,5,FALSE), "Categoria não encontrada")</f>
        <v>ORTESES E PROTESES</v>
      </c>
      <c r="D191" s="166" t="str">
        <f>IFERROR(VLOOKUP(A191,PRODUTOS!A:E,4,FALSE), "Categoria não encontrada")</f>
        <v>UN</v>
      </c>
      <c r="E191" s="167">
        <f>SUMIFS(MOVIMENTACOES!F:F,MOVIMENTACOES!C:C,A191,MOVIMENTACOES!E:E,"Entrada")</f>
        <v>80</v>
      </c>
      <c r="F191" s="167">
        <f>SUMIFS(MOVIMENTACOES!F:F,MOVIMENTACOES!C:C,A191,MOVIMENTACOES!E:E,"Saída")</f>
        <v>0</v>
      </c>
      <c r="G191" s="168">
        <f t="shared" si="1"/>
        <v>80</v>
      </c>
      <c r="H191" s="169" t="str">
        <f t="shared" si="2"/>
        <v>OK</v>
      </c>
      <c r="I191" s="170" t="str">
        <f>VLOOKUP(A191, PRODUTOS!A:H, 3, FALSE)</f>
        <v>ORTOPEC ORTOPEDIA TECNICA LTDA</v>
      </c>
    </row>
    <row r="192" ht="20.25" customHeight="1">
      <c r="A192" s="104" t="s">
        <v>424</v>
      </c>
      <c r="B192" s="20" t="str">
        <f>VLOOKUP(A192,produto,2,0)</f>
        <v>DISTRATOR PEQUENO</v>
      </c>
      <c r="C192" s="8" t="str">
        <f>IFERROR(VLOOKUP(A192,PRODUTOS!A:E,5,FALSE), "Categoria não encontrada")</f>
        <v>ORTESES E PROTESES</v>
      </c>
      <c r="D192" s="166" t="str">
        <f>IFERROR(VLOOKUP(A192,PRODUTOS!A:E,4,FALSE), "Categoria não encontrada")</f>
        <v>UN</v>
      </c>
      <c r="E192" s="167">
        <f>SUMIFS(MOVIMENTACOES!F:F,MOVIMENTACOES!C:C,A192,MOVIMENTACOES!E:E,"Entrada")</f>
        <v>20</v>
      </c>
      <c r="F192" s="167">
        <f>SUMIFS(MOVIMENTACOES!F:F,MOVIMENTACOES!C:C,A192,MOVIMENTACOES!E:E,"Saída")</f>
        <v>0</v>
      </c>
      <c r="G192" s="168">
        <f t="shared" si="1"/>
        <v>20</v>
      </c>
      <c r="H192" s="169" t="str">
        <f t="shared" si="2"/>
        <v>OK</v>
      </c>
      <c r="I192" s="170" t="str">
        <f>VLOOKUP(A192, PRODUTOS!A:H, 3, FALSE)</f>
        <v>ORTOPEC ORTOPEDIA TECNICA LTDA</v>
      </c>
    </row>
    <row r="193" ht="20.25" customHeight="1">
      <c r="A193" s="104">
        <v>2.00085841E8</v>
      </c>
      <c r="B193" s="20" t="str">
        <f>VLOOKUP(A193,produto,2,0)</f>
        <v>JOELHO COM BLOQUEIO AUTOMATICO UNICO/AÇO</v>
      </c>
      <c r="C193" s="8" t="str">
        <f>IFERROR(VLOOKUP(A193,PRODUTOS!A:E,5,FALSE), "Categoria não encontrada")</f>
        <v>ORTESES E PROTESES</v>
      </c>
      <c r="D193" s="166" t="str">
        <f>IFERROR(VLOOKUP(A193,PRODUTOS!A:E,4,FALSE), "Categoria não encontrada")</f>
        <v>UN</v>
      </c>
      <c r="E193" s="167">
        <f>SUMIFS(MOVIMENTACOES!F:F,MOVIMENTACOES!C:C,A193,MOVIMENTACOES!E:E,"Entrada")</f>
        <v>20</v>
      </c>
      <c r="F193" s="167">
        <f>SUMIFS(MOVIMENTACOES!F:F,MOVIMENTACOES!C:C,A193,MOVIMENTACOES!E:E,"Saída")</f>
        <v>0</v>
      </c>
      <c r="G193" s="168">
        <f t="shared" si="1"/>
        <v>20</v>
      </c>
      <c r="H193" s="169" t="str">
        <f t="shared" si="2"/>
        <v>OK</v>
      </c>
      <c r="I193" s="170" t="str">
        <f>VLOOKUP(A193, PRODUTOS!A:H, 3, FALSE)</f>
        <v>ORTOPEC ORTOPEDIA TECNICA LTDA</v>
      </c>
    </row>
    <row r="194" ht="20.25" customHeight="1">
      <c r="A194" s="104">
        <v>2.0008584E8</v>
      </c>
      <c r="B194" s="20" t="str">
        <f>VLOOKUP(A194,produto,2,0)</f>
        <v>JOELHO COM LIVRE COM IMPULSOR INTERNO</v>
      </c>
      <c r="C194" s="8" t="str">
        <f>IFERROR(VLOOKUP(A194,PRODUTOS!A:E,5,FALSE), "Categoria não encontrada")</f>
        <v>ORTESES E PROTESES</v>
      </c>
      <c r="D194" s="166" t="str">
        <f>IFERROR(VLOOKUP(A194,PRODUTOS!A:E,4,FALSE), "Categoria não encontrada")</f>
        <v>JG</v>
      </c>
      <c r="E194" s="167">
        <f>SUMIFS(MOVIMENTACOES!F:F,MOVIMENTACOES!C:C,A194,MOVIMENTACOES!E:E,"Entrada")</f>
        <v>20</v>
      </c>
      <c r="F194" s="167">
        <f>SUMIFS(MOVIMENTACOES!F:F,MOVIMENTACOES!C:C,A194,MOVIMENTACOES!E:E,"Saída")</f>
        <v>0</v>
      </c>
      <c r="G194" s="168">
        <f t="shared" si="1"/>
        <v>20</v>
      </c>
      <c r="H194" s="169" t="str">
        <f t="shared" si="2"/>
        <v>OK</v>
      </c>
      <c r="I194" s="170" t="str">
        <f>VLOOKUP(A194, PRODUTOS!A:H, 3, FALSE)</f>
        <v>ORTOPEC ORTOPEDIA TECNICA LTDA</v>
      </c>
    </row>
    <row r="195" ht="20.25" customHeight="1">
      <c r="A195" s="171">
        <v>2.00085881E8</v>
      </c>
      <c r="B195" s="20" t="str">
        <f>VLOOKUP(A195,produto,2,0)</f>
        <v>HASTE DE ALUMINIO LONDO D/E/20</v>
      </c>
      <c r="C195" s="8" t="str">
        <f>IFERROR(VLOOKUP(A195,PRODUTOS!A:E,5,FALSE), "Categoria não encontrada")</f>
        <v>ORTESES E PROTESES</v>
      </c>
      <c r="D195" s="166" t="str">
        <f>IFERROR(VLOOKUP(A195,PRODUTOS!A:E,4,FALSE), "Categoria não encontrada")</f>
        <v>PCT</v>
      </c>
      <c r="E195" s="166">
        <f>SUMIFS(MOVIMENTACOES!F:F,MOVIMENTACOES!C:C,A195,MOVIMENTACOES!E:E,"Entrada")</f>
        <v>20</v>
      </c>
      <c r="F195" s="166">
        <f>SUMIFS(MOVIMENTACOES!F:F,MOVIMENTACOES!C:C,A195,MOVIMENTACOES!E:E,"Saída")</f>
        <v>3</v>
      </c>
      <c r="G195" s="168">
        <f t="shared" si="1"/>
        <v>17</v>
      </c>
      <c r="H195" s="169" t="str">
        <f t="shared" si="2"/>
        <v>OK</v>
      </c>
      <c r="I195" s="170" t="str">
        <f>VLOOKUP(A195, PRODUTOS!A:H, 3, FALSE)</f>
        <v>ORTOPEC ORTOPEDIA TECNICA LTDA</v>
      </c>
    </row>
    <row r="196" ht="20.25" customHeight="1">
      <c r="A196" s="171" t="s">
        <v>433</v>
      </c>
      <c r="B196" s="20" t="str">
        <f>VLOOKUP(A196,produto,2,0)</f>
        <v>COLAR DE MILWAKEE - KIT P/ MILWAUKEE GRANDE</v>
      </c>
      <c r="C196" s="8" t="str">
        <f>IFERROR(VLOOKUP(A196,PRODUTOS!A:E,5,FALSE), "Categoria não encontrada")</f>
        <v>ORTESES E PROTESES</v>
      </c>
      <c r="D196" s="166" t="str">
        <f>IFERROR(VLOOKUP(A196,PRODUTOS!A:E,4,FALSE), "Categoria não encontrada")</f>
        <v>UN</v>
      </c>
      <c r="E196" s="167">
        <f>SUMIFS(MOVIMENTACOES!F:F,MOVIMENTACOES!C:C,A196,MOVIMENTACOES!E:E,"Entrada")</f>
        <v>6</v>
      </c>
      <c r="F196" s="167">
        <f>SUMIFS(MOVIMENTACOES!F:F,MOVIMENTACOES!C:C,A196,MOVIMENTACOES!E:E,"Saída")</f>
        <v>0</v>
      </c>
      <c r="G196" s="168">
        <f t="shared" si="1"/>
        <v>6</v>
      </c>
      <c r="H196" s="169" t="str">
        <f t="shared" si="2"/>
        <v>OK</v>
      </c>
      <c r="I196" s="170" t="str">
        <f>VLOOKUP(A196, PRODUTOS!A:H, 3, FALSE)</f>
        <v>ORTOPEC ORTOPEDIA TECNICA LTDA</v>
      </c>
    </row>
    <row r="197" ht="20.25" customHeight="1">
      <c r="A197" s="104" t="s">
        <v>437</v>
      </c>
      <c r="B197" s="20" t="str">
        <f>VLOOKUP(A197,produto,2,0)</f>
        <v>COLAR DE MILWAKEE - KIT P/ MILWAUKEE MEDIO</v>
      </c>
      <c r="C197" s="8" t="str">
        <f>IFERROR(VLOOKUP(A197,PRODUTOS!A:E,5,FALSE), "Categoria não encontrada")</f>
        <v>ORTESES E PROTESES</v>
      </c>
      <c r="D197" s="166" t="str">
        <f>IFERROR(VLOOKUP(A197,PRODUTOS!A:E,4,FALSE), "Categoria não encontrada")</f>
        <v>UN</v>
      </c>
      <c r="E197" s="167">
        <f>SUMIFS(MOVIMENTACOES!F:F,MOVIMENTACOES!C:C,A197,MOVIMENTACOES!E:E,"Entrada")</f>
        <v>10</v>
      </c>
      <c r="F197" s="167">
        <f>SUMIFS(MOVIMENTACOES!F:F,MOVIMENTACOES!C:C,A197,MOVIMENTACOES!E:E,"Saída")</f>
        <v>1</v>
      </c>
      <c r="G197" s="168">
        <f t="shared" si="1"/>
        <v>9</v>
      </c>
      <c r="H197" s="169" t="str">
        <f t="shared" si="2"/>
        <v>OK</v>
      </c>
      <c r="I197" s="170" t="str">
        <f>VLOOKUP(A197, PRODUTOS!A:H, 3, FALSE)</f>
        <v>ORTOPEC ORTOPEDIA TECNICA LTDA</v>
      </c>
    </row>
    <row r="198" ht="20.25" customHeight="1">
      <c r="A198" s="104" t="s">
        <v>439</v>
      </c>
      <c r="B198" s="20" t="str">
        <f>VLOOKUP(A198,produto,2,0)</f>
        <v>COLAR DE MILWAKEE - KIT P/ MILWAUKEE PEQUENO</v>
      </c>
      <c r="C198" s="8" t="str">
        <f>IFERROR(VLOOKUP(A198,PRODUTOS!A:E,5,FALSE), "Categoria não encontrada")</f>
        <v>ORTESES E PROTESES</v>
      </c>
      <c r="D198" s="166" t="str">
        <f>IFERROR(VLOOKUP(A198,PRODUTOS!A:E,4,FALSE), "Categoria não encontrada")</f>
        <v>UN</v>
      </c>
      <c r="E198" s="167">
        <f>SUMIFS(MOVIMENTACOES!F:F,MOVIMENTACOES!C:C,A198,MOVIMENTACOES!E:E,"Entrada")</f>
        <v>4</v>
      </c>
      <c r="F198" s="167">
        <f>SUMIFS(MOVIMENTACOES!F:F,MOVIMENTACOES!C:C,A198,MOVIMENTACOES!E:E,"Saída")</f>
        <v>0</v>
      </c>
      <c r="G198" s="168">
        <f t="shared" si="1"/>
        <v>4</v>
      </c>
      <c r="H198" s="169" t="str">
        <f t="shared" si="2"/>
        <v>OK</v>
      </c>
      <c r="I198" s="170" t="str">
        <f>VLOOKUP(A198, PRODUTOS!A:H, 3, FALSE)</f>
        <v>ORTOPEC ORTOPEDIA TECNICA LTDA</v>
      </c>
    </row>
    <row r="199" ht="20.25" customHeight="1">
      <c r="A199" s="181" t="s">
        <v>441</v>
      </c>
      <c r="B199" s="20" t="str">
        <f>VLOOKUP(A199,produto,2,0)</f>
        <v>CONJUNTO DE ALMOFADAS PADRAO/UNICO (COLETE MILWAUKEE)</v>
      </c>
      <c r="C199" s="8" t="str">
        <f>IFERROR(VLOOKUP(A199,PRODUTOS!A:E,5,FALSE), "Categoria não encontrada")</f>
        <v>ORTESES E PROTESES</v>
      </c>
      <c r="D199" s="166" t="str">
        <f>IFERROR(VLOOKUP(A199,PRODUTOS!A:E,4,FALSE), "Categoria não encontrada")</f>
        <v>UN</v>
      </c>
      <c r="E199" s="166">
        <f>SUMIFS(MOVIMENTACOES!F:F,MOVIMENTACOES!C:C,A199,MOVIMENTACOES!E:E,"Entrada")</f>
        <v>20</v>
      </c>
      <c r="F199" s="166">
        <f>SUMIFS(MOVIMENTACOES!F:F,MOVIMENTACOES!C:C,A199,MOVIMENTACOES!E:E,"Saída")</f>
        <v>0</v>
      </c>
      <c r="G199" s="168">
        <f t="shared" si="1"/>
        <v>20</v>
      </c>
      <c r="H199" s="169" t="str">
        <f t="shared" si="2"/>
        <v>OK</v>
      </c>
      <c r="I199" s="170" t="str">
        <f>VLOOKUP(A199, PRODUTOS!A:H, 3, FALSE)</f>
        <v>ORTOPEC ORTOPEDIA TECNICA LTDA</v>
      </c>
    </row>
    <row r="200" ht="20.25" customHeight="1">
      <c r="A200" s="36">
        <v>2.00000045E8</v>
      </c>
      <c r="B200" s="20" t="str">
        <f>VLOOKUP(A200,produto,2,0)</f>
        <v>Malha Tubular de Algodão 10cm x 15m</v>
      </c>
      <c r="C200" s="8" t="str">
        <f>IFERROR(VLOOKUP(A200,PRODUTOS!A:E,5,FALSE), "Categoria não encontrada")</f>
        <v>ORTESES E PROTESES</v>
      </c>
      <c r="D200" s="166" t="str">
        <f>IFERROR(VLOOKUP(A200,PRODUTOS!A:E,4,FALSE), "Categoria não encontrada")</f>
        <v>UN</v>
      </c>
      <c r="E200" s="166">
        <f>SUMIFS(MOVIMENTACOES!F:F,MOVIMENTACOES!C:C,A200,MOVIMENTACOES!E:E,"Entrada")</f>
        <v>31</v>
      </c>
      <c r="F200" s="166">
        <f>SUMIFS(MOVIMENTACOES!F:F,MOVIMENTACOES!C:C,A200,MOVIMENTACOES!E:E,"Saída")</f>
        <v>21</v>
      </c>
      <c r="G200" s="168">
        <f t="shared" si="1"/>
        <v>10</v>
      </c>
      <c r="H200" s="169" t="str">
        <f t="shared" si="2"/>
        <v>OK</v>
      </c>
      <c r="I200" s="173" t="s">
        <v>27</v>
      </c>
    </row>
    <row r="201" ht="20.25" customHeight="1">
      <c r="A201" s="36">
        <v>2.00000046E8</v>
      </c>
      <c r="B201" s="20" t="str">
        <f>VLOOKUP(A201,produto,2,0)</f>
        <v>Malha Tubular de Algodão 15cmx15m</v>
      </c>
      <c r="C201" s="8" t="str">
        <f>IFERROR(VLOOKUP(A201,PRODUTOS!A:E,5,FALSE), "Categoria não encontrada")</f>
        <v>ORTESES E PROTESES</v>
      </c>
      <c r="D201" s="166" t="str">
        <f>IFERROR(VLOOKUP(A201,PRODUTOS!A:E,4,FALSE), "Categoria não encontrada")</f>
        <v>UN</v>
      </c>
      <c r="E201" s="166">
        <f>SUMIFS(MOVIMENTACOES!F:F,MOVIMENTACOES!C:C,A201,MOVIMENTACOES!E:E,"Entrada")</f>
        <v>30</v>
      </c>
      <c r="F201" s="166">
        <f>SUMIFS(MOVIMENTACOES!F:F,MOVIMENTACOES!C:C,A201,MOVIMENTACOES!E:E,"Saída")</f>
        <v>8</v>
      </c>
      <c r="G201" s="168">
        <f t="shared" si="1"/>
        <v>22</v>
      </c>
      <c r="H201" s="169" t="str">
        <f t="shared" si="2"/>
        <v>OK</v>
      </c>
      <c r="I201" s="173" t="s">
        <v>27</v>
      </c>
    </row>
    <row r="202" ht="20.25" customHeight="1">
      <c r="A202" s="104">
        <v>2.00085855E8</v>
      </c>
      <c r="B202" s="20" t="str">
        <f>VLOOKUP(A202,produto,2,0)</f>
        <v>MÃO DE SISTEMA EM POLIURETANO</v>
      </c>
      <c r="C202" s="8" t="str">
        <f>IFERROR(VLOOKUP(A202,PRODUTOS!A:E,5,FALSE), "Categoria não encontrada")</f>
        <v>ORTESES E PROTESES</v>
      </c>
      <c r="D202" s="166" t="str">
        <f>IFERROR(VLOOKUP(A202,PRODUTOS!A:E,4,FALSE), "Categoria não encontrada")</f>
        <v>PÇ</v>
      </c>
      <c r="E202" s="167">
        <f>SUMIFS(MOVIMENTACOES!F:F,MOVIMENTACOES!C:C,A202,MOVIMENTACOES!E:E,"Entrada")</f>
        <v>5</v>
      </c>
      <c r="F202" s="167">
        <f>SUMIFS(MOVIMENTACOES!F:F,MOVIMENTACOES!C:C,A202,MOVIMENTACOES!E:E,"Saída")</f>
        <v>0</v>
      </c>
      <c r="G202" s="168">
        <f t="shared" si="1"/>
        <v>5</v>
      </c>
      <c r="H202" s="169" t="str">
        <f t="shared" si="2"/>
        <v>OK</v>
      </c>
      <c r="I202" s="170" t="str">
        <f>VLOOKUP(A202, PRODUTOS!A:H, 3, FALSE)</f>
        <v>ORTOPEC ORTOPEDIA TECNICA LTDA</v>
      </c>
    </row>
    <row r="203" ht="20.25" customHeight="1">
      <c r="A203" s="104">
        <v>2.00085859E8</v>
      </c>
      <c r="B203" s="20" t="str">
        <f>VLOOKUP(A203,produto,2,0)</f>
        <v>PE SACH COM DEDOS DIREITO</v>
      </c>
      <c r="C203" s="8" t="str">
        <f>IFERROR(VLOOKUP(A203,PRODUTOS!A:E,5,FALSE), "Categoria não encontrada")</f>
        <v>ORTESES E PROTESES</v>
      </c>
      <c r="D203" s="166" t="str">
        <f>IFERROR(VLOOKUP(A203,PRODUTOS!A:E,4,FALSE), "Categoria não encontrada")</f>
        <v>UN</v>
      </c>
      <c r="E203" s="167">
        <f>SUMIFS(MOVIMENTACOES!F:F,MOVIMENTACOES!C:C,A203,MOVIMENTACOES!E:E,"Entrada")</f>
        <v>10</v>
      </c>
      <c r="F203" s="167">
        <f>SUMIFS(MOVIMENTACOES!F:F,MOVIMENTACOES!C:C,A203,MOVIMENTACOES!E:E,"Saída")</f>
        <v>1</v>
      </c>
      <c r="G203" s="168">
        <f t="shared" si="1"/>
        <v>9</v>
      </c>
      <c r="H203" s="169" t="str">
        <f t="shared" si="2"/>
        <v>OK</v>
      </c>
      <c r="I203" s="170" t="str">
        <f>VLOOKUP(A203, PRODUTOS!A:H, 3, FALSE)</f>
        <v>ORTOPEC ORTOPEDIA TECNICA LTDA</v>
      </c>
    </row>
    <row r="204" ht="20.25" customHeight="1">
      <c r="A204" s="104">
        <v>2.00085861E8</v>
      </c>
      <c r="B204" s="20" t="str">
        <f>VLOOKUP(A204,produto,2,0)</f>
        <v>PE SACH COM DEDOS ESQUERDO</v>
      </c>
      <c r="C204" s="8" t="str">
        <f>IFERROR(VLOOKUP(A204,PRODUTOS!A:E,5,FALSE), "Categoria não encontrada")</f>
        <v>ORTESES E PROTESES</v>
      </c>
      <c r="D204" s="166" t="str">
        <f>IFERROR(VLOOKUP(A204,PRODUTOS!A:E,4,FALSE), "Categoria não encontrada")</f>
        <v>UN</v>
      </c>
      <c r="E204" s="167">
        <f>SUMIFS(MOVIMENTACOES!F:F,MOVIMENTACOES!C:C,A204,MOVIMENTACOES!E:E,"Entrada")</f>
        <v>10</v>
      </c>
      <c r="F204" s="167">
        <f>SUMIFS(MOVIMENTACOES!F:F,MOVIMENTACOES!C:C,A204,MOVIMENTACOES!E:E,"Saída")</f>
        <v>1</v>
      </c>
      <c r="G204" s="168">
        <f t="shared" si="1"/>
        <v>9</v>
      </c>
      <c r="H204" s="169" t="str">
        <f t="shared" si="2"/>
        <v>OK</v>
      </c>
      <c r="I204" s="170" t="str">
        <f>VLOOKUP(A204, PRODUTOS!A:H, 3, FALSE)</f>
        <v>ORTOPEC ORTOPEDIA TECNICA LTDA</v>
      </c>
    </row>
    <row r="205" ht="20.25" customHeight="1">
      <c r="A205" s="104">
        <v>2.00085856E8</v>
      </c>
      <c r="B205" s="20" t="str">
        <f>VLOOKUP(A205,produto,2,0)</f>
        <v>PE SACH INFANTIL DIREITO</v>
      </c>
      <c r="C205" s="8" t="str">
        <f>IFERROR(VLOOKUP(A205,PRODUTOS!A:E,5,FALSE), "Categoria não encontrada")</f>
        <v>ORTESES E PROTESES</v>
      </c>
      <c r="D205" s="166" t="str">
        <f>IFERROR(VLOOKUP(A205,PRODUTOS!A:E,4,FALSE), "Categoria não encontrada")</f>
        <v>UN</v>
      </c>
      <c r="E205" s="167">
        <f>SUMIFS(MOVIMENTACOES!F:F,MOVIMENTACOES!C:C,A205,MOVIMENTACOES!E:E,"Entrada")</f>
        <v>10</v>
      </c>
      <c r="F205" s="167">
        <f>SUMIFS(MOVIMENTACOES!F:F,MOVIMENTACOES!C:C,A205,MOVIMENTACOES!E:E,"Saída")</f>
        <v>0</v>
      </c>
      <c r="G205" s="168">
        <f t="shared" si="1"/>
        <v>10</v>
      </c>
      <c r="H205" s="169" t="str">
        <f t="shared" si="2"/>
        <v>OK</v>
      </c>
      <c r="I205" s="170" t="str">
        <f>VLOOKUP(A205, PRODUTOS!A:H, 3, FALSE)</f>
        <v>ORTOPEC ORTOPEDIA TECNICA LTDA</v>
      </c>
    </row>
    <row r="206" ht="20.25" customHeight="1">
      <c r="A206" s="104">
        <v>2.00085858E8</v>
      </c>
      <c r="B206" s="20" t="str">
        <f>VLOOKUP(A206,produto,2,0)</f>
        <v>PE SACH INFANTIL ESQUERDO</v>
      </c>
      <c r="C206" s="8" t="str">
        <f>IFERROR(VLOOKUP(A206,PRODUTOS!A:E,5,FALSE), "Categoria não encontrada")</f>
        <v>ORTESES E PROTESES</v>
      </c>
      <c r="D206" s="166" t="str">
        <f>IFERROR(VLOOKUP(A206,PRODUTOS!A:E,4,FALSE), "Categoria não encontrada")</f>
        <v>UN</v>
      </c>
      <c r="E206" s="167">
        <f>SUMIFS(MOVIMENTACOES!F:F,MOVIMENTACOES!C:C,A206,MOVIMENTACOES!E:E,"Entrada")</f>
        <v>10</v>
      </c>
      <c r="F206" s="167">
        <f>SUMIFS(MOVIMENTACOES!F:F,MOVIMENTACOES!C:C,A206,MOVIMENTACOES!E:E,"Saída")</f>
        <v>0</v>
      </c>
      <c r="G206" s="168">
        <f t="shared" si="1"/>
        <v>10</v>
      </c>
      <c r="H206" s="169" t="str">
        <f t="shared" si="2"/>
        <v>OK</v>
      </c>
      <c r="I206" s="170" t="str">
        <f>VLOOKUP(A206, PRODUTOS!A:H, 3, FALSE)</f>
        <v>ORTOPEC ORTOPEDIA TECNICA LTDA</v>
      </c>
    </row>
    <row r="207" ht="20.25" customHeight="1">
      <c r="A207" s="171">
        <v>2.00085594E8</v>
      </c>
      <c r="B207" s="20" t="str">
        <f>VLOOKUP(A207,produto,2,0)</f>
        <v>PLACA PROTETOR PROTESE DE JOELHO EM EVA 5MM</v>
      </c>
      <c r="C207" s="8" t="str">
        <f>IFERROR(VLOOKUP(A207,PRODUTOS!A:E,5,FALSE), "Categoria não encontrada")</f>
        <v>ORTESES E PROTESES</v>
      </c>
      <c r="D207" s="166" t="str">
        <f>IFERROR(VLOOKUP(A207,PRODUTOS!A:E,4,FALSE), "Categoria não encontrada")</f>
        <v>MT</v>
      </c>
      <c r="E207" s="166">
        <f>SUMIFS(MOVIMENTACOES!F:F,MOVIMENTACOES!C:C,A207,MOVIMENTACOES!E:E,"Entrada")</f>
        <v>100</v>
      </c>
      <c r="F207" s="166">
        <f>SUMIFS(MOVIMENTACOES!F:F,MOVIMENTACOES!C:C,A207,MOVIMENTACOES!E:E,"Saída")</f>
        <v>0</v>
      </c>
      <c r="G207" s="168">
        <f t="shared" si="1"/>
        <v>100</v>
      </c>
      <c r="H207" s="169" t="str">
        <f t="shared" si="2"/>
        <v>OK</v>
      </c>
      <c r="I207" s="170" t="str">
        <f>VLOOKUP(A207, PRODUTOS!A:H, 3, FALSE)</f>
        <v>ORTOPEC ORTOPEDIA TECNICA LTDA</v>
      </c>
    </row>
    <row r="208" ht="20.25" customHeight="1">
      <c r="A208" s="104">
        <v>2.00085863E8</v>
      </c>
      <c r="B208" s="20" t="str">
        <f>VLOOKUP(A208,produto,2,0)</f>
        <v>REVESTIMENTO COSMET. P/PROTESES - ESPUMA UNICO UNICO/CURTO</v>
      </c>
      <c r="C208" s="8" t="str">
        <f>IFERROR(VLOOKUP(A208,PRODUTOS!A:E,5,FALSE), "Categoria não encontrada")</f>
        <v>ORTESES E PROTESES</v>
      </c>
      <c r="D208" s="166" t="str">
        <f>IFERROR(VLOOKUP(A208,PRODUTOS!A:E,4,FALSE), "Categoria não encontrada")</f>
        <v>UN</v>
      </c>
      <c r="E208" s="167">
        <f>SUMIFS(MOVIMENTACOES!F:F,MOVIMENTACOES!C:C,A208,MOVIMENTACOES!E:E,"Entrada")</f>
        <v>20</v>
      </c>
      <c r="F208" s="167">
        <f>SUMIFS(MOVIMENTACOES!F:F,MOVIMENTACOES!C:C,A208,MOVIMENTACOES!E:E,"Saída")</f>
        <v>0</v>
      </c>
      <c r="G208" s="168">
        <f t="shared" si="1"/>
        <v>20</v>
      </c>
      <c r="H208" s="169" t="str">
        <f t="shared" si="2"/>
        <v>OK</v>
      </c>
      <c r="I208" s="170" t="str">
        <f>VLOOKUP(A208, PRODUTOS!A:H, 3, FALSE)</f>
        <v>ORTOPEC ORTOPEDIA TECNICA LTDA</v>
      </c>
    </row>
    <row r="209" ht="20.25" customHeight="1">
      <c r="A209" s="104">
        <v>2.00085864E8</v>
      </c>
      <c r="B209" s="20" t="str">
        <f>VLOOKUP(A209,produto,2,0)</f>
        <v>REVESTIMENTO COSMET. P/PROTESES ESPUMA LONGO</v>
      </c>
      <c r="C209" s="8" t="str">
        <f>IFERROR(VLOOKUP(A209,PRODUTOS!A:E,5,FALSE), "Categoria não encontrada")</f>
        <v>ORTESES E PROTESES</v>
      </c>
      <c r="D209" s="166" t="str">
        <f>IFERROR(VLOOKUP(A209,PRODUTOS!A:E,4,FALSE), "Categoria não encontrada")</f>
        <v>UN</v>
      </c>
      <c r="E209" s="167">
        <f>SUMIFS(MOVIMENTACOES!F:F,MOVIMENTACOES!C:C,A209,MOVIMENTACOES!E:E,"Entrada")</f>
        <v>20</v>
      </c>
      <c r="F209" s="167">
        <f>SUMIFS(MOVIMENTACOES!F:F,MOVIMENTACOES!C:C,A209,MOVIMENTACOES!E:E,"Saída")</f>
        <v>0</v>
      </c>
      <c r="G209" s="168">
        <f t="shared" si="1"/>
        <v>20</v>
      </c>
      <c r="H209" s="169" t="str">
        <f t="shared" si="2"/>
        <v>OK</v>
      </c>
      <c r="I209" s="170" t="str">
        <f>VLOOKUP(A209, PRODUTOS!A:H, 3, FALSE)</f>
        <v>ORTOPEC ORTOPEDIA TECNICA LTDA</v>
      </c>
    </row>
    <row r="210" ht="20.25" customHeight="1">
      <c r="A210" s="104">
        <v>2.00085586E8</v>
      </c>
      <c r="B210" s="20" t="str">
        <f>VLOOKUP(A210,produto,2,0)</f>
        <v>TUBO CURTO ADAPTADOR MOD. 200M/ACO</v>
      </c>
      <c r="C210" s="8" t="str">
        <f>IFERROR(VLOOKUP(A210,PRODUTOS!A:E,5,FALSE), "Categoria não encontrada")</f>
        <v>ORTESES E PROTESES</v>
      </c>
      <c r="D210" s="166" t="str">
        <f>IFERROR(VLOOKUP(A210,PRODUTOS!A:E,4,FALSE), "Categoria não encontrada")</f>
        <v>UN</v>
      </c>
      <c r="E210" s="167">
        <f>SUMIFS(MOVIMENTACOES!F:F,MOVIMENTACOES!C:C,A210,MOVIMENTACOES!E:E,"Entrada")</f>
        <v>20</v>
      </c>
      <c r="F210" s="167">
        <f>SUMIFS(MOVIMENTACOES!F:F,MOVIMENTACOES!C:C,A210,MOVIMENTACOES!E:E,"Saída")</f>
        <v>0</v>
      </c>
      <c r="G210" s="168">
        <f t="shared" si="1"/>
        <v>20</v>
      </c>
      <c r="H210" s="169" t="str">
        <f t="shared" si="2"/>
        <v>OK</v>
      </c>
      <c r="I210" s="170" t="str">
        <f>VLOOKUP(A210, PRODUTOS!A:H, 3, FALSE)</f>
        <v>ORTOPEC ORTOPEDIA TECNICA LTDA</v>
      </c>
    </row>
    <row r="211" ht="20.25" customHeight="1">
      <c r="A211" s="70">
        <v>2.00085836E8</v>
      </c>
      <c r="B211" s="20" t="str">
        <f>VLOOKUP(A211,produto,2,0)</f>
        <v>TUBO LONGO 30MM</v>
      </c>
      <c r="C211" s="8" t="str">
        <f>IFERROR(VLOOKUP(A211,PRODUTOS!A:E,5,FALSE), "Categoria não encontrada")</f>
        <v>ORTESES E PROTESES</v>
      </c>
      <c r="D211" s="166" t="str">
        <f>IFERROR(VLOOKUP(A211,PRODUTOS!A:E,4,FALSE), "Categoria não encontrada")</f>
        <v>UN</v>
      </c>
      <c r="E211" s="167">
        <f>SUMIFS(MOVIMENTACOES!F:F,MOVIMENTACOES!C:C,A211,MOVIMENTACOES!E:E,"Entrada")</f>
        <v>10</v>
      </c>
      <c r="F211" s="167">
        <f>SUMIFS(MOVIMENTACOES!F:F,MOVIMENTACOES!C:C,A211,MOVIMENTACOES!E:E,"Saída")</f>
        <v>0</v>
      </c>
      <c r="G211" s="168">
        <f t="shared" si="1"/>
        <v>10</v>
      </c>
      <c r="H211" s="169" t="str">
        <f t="shared" si="2"/>
        <v>OK</v>
      </c>
      <c r="I211" s="170" t="str">
        <f>VLOOKUP(A211, PRODUTOS!A:H, 3, FALSE)</f>
        <v>ORTOPEC ORTOPEDIA TECNICA LTDA</v>
      </c>
    </row>
    <row r="212" ht="20.25" customHeight="1">
      <c r="A212" s="28">
        <v>1.2121811E8</v>
      </c>
      <c r="B212" s="20" t="str">
        <f>VLOOKUP(A212,produto,2,0)</f>
        <v>MOLDE DE ESPUMA UNICO/UNICO</v>
      </c>
      <c r="C212" s="8" t="str">
        <f>IFERROR(VLOOKUP(A212,PRODUTOS!A:E,5,FALSE), "Categoria não encontrada")</f>
        <v>ORTESES E PROTESES</v>
      </c>
      <c r="D212" s="166" t="str">
        <f>IFERROR(VLOOKUP(A212,PRODUTOS!A:E,4,FALSE), "Categoria não encontrada")</f>
        <v>CX</v>
      </c>
      <c r="E212" s="166">
        <f>SUMIFS(MOVIMENTACOES!F:F,MOVIMENTACOES!C:C,A212,MOVIMENTACOES!E:E,"Entrada")</f>
        <v>100</v>
      </c>
      <c r="F212" s="166">
        <f>SUMIFS(MOVIMENTACOES!F:F,MOVIMENTACOES!C:C,A212,MOVIMENTACOES!E:E,"Saída")</f>
        <v>0</v>
      </c>
      <c r="G212" s="168">
        <f t="shared" si="1"/>
        <v>100</v>
      </c>
      <c r="H212" s="169" t="str">
        <f t="shared" si="2"/>
        <v>OK</v>
      </c>
      <c r="I212" s="170" t="str">
        <f>VLOOKUP(A212, PRODUTOS!A:H, 3, FALSE)</f>
        <v>DILEPÉ</v>
      </c>
    </row>
    <row r="213" ht="20.25" customHeight="1">
      <c r="A213" s="15">
        <v>2.00000067E8</v>
      </c>
      <c r="B213" s="20" t="str">
        <f>VLOOKUP(A213,produto,2,0)</f>
        <v>PLACA SOLA EVA MIOLO COMIM EXPAMDIDO DUREZA 60 PRETO 6mm (84 de comprimento)</v>
      </c>
      <c r="C213" s="8" t="str">
        <f>IFERROR(VLOOKUP(A213,PRODUTOS!A:E,5,FALSE), "Categoria não encontrada")</f>
        <v>OFICINA</v>
      </c>
      <c r="D213" s="166" t="str">
        <f>IFERROR(VLOOKUP(A213,PRODUTOS!A:E,4,FALSE), "Categoria não encontrada")</f>
        <v>UN</v>
      </c>
      <c r="E213" s="166">
        <f>SUMIFS(MOVIMENTACOES!F:F,MOVIMENTACOES!C:C,A213,MOVIMENTACOES!E:E,"Entrada")</f>
        <v>9</v>
      </c>
      <c r="F213" s="166">
        <f>SUMIFS(MOVIMENTACOES!F:F,MOVIMENTACOES!C:C,A213,MOVIMENTACOES!E:E,"Saída")</f>
        <v>0</v>
      </c>
      <c r="G213" s="168">
        <f t="shared" si="1"/>
        <v>9</v>
      </c>
      <c r="H213" s="169" t="str">
        <f t="shared" si="2"/>
        <v>OK</v>
      </c>
      <c r="I213" s="170" t="str">
        <f>VLOOKUP(A213, PRODUTOS!A:H, 3, FALSE)</f>
        <v>ATIVOS REABILITAÇÃO</v>
      </c>
    </row>
    <row r="214" ht="20.25" customHeight="1">
      <c r="A214" s="15">
        <v>2.00000071E8</v>
      </c>
      <c r="B214" s="20" t="str">
        <f>VLOOKUP(A214,produto,2,0)</f>
        <v>PLACA SOLA EVA MIOLO COMUM  EXPANDIDO DUREZA 40 PRETO 6mm (115 de comprimento)</v>
      </c>
      <c r="C214" s="8" t="str">
        <f>IFERROR(VLOOKUP(A214,PRODUTOS!A:E,5,FALSE), "Categoria não encontrada")</f>
        <v>OFICINA</v>
      </c>
      <c r="D214" s="166" t="str">
        <f>IFERROR(VLOOKUP(A214,PRODUTOS!A:E,4,FALSE), "Categoria não encontrada")</f>
        <v>UN</v>
      </c>
      <c r="E214" s="166">
        <f>SUMIFS(MOVIMENTACOES!F:F,MOVIMENTACOES!C:C,A214,MOVIMENTACOES!E:E,"Entrada")</f>
        <v>10</v>
      </c>
      <c r="F214" s="166">
        <f>SUMIFS(MOVIMENTACOES!F:F,MOVIMENTACOES!C:C,A214,MOVIMENTACOES!E:E,"Saída")</f>
        <v>0</v>
      </c>
      <c r="G214" s="168">
        <f t="shared" si="1"/>
        <v>10</v>
      </c>
      <c r="H214" s="169" t="str">
        <f t="shared" si="2"/>
        <v>OK</v>
      </c>
      <c r="I214" s="170" t="str">
        <f>VLOOKUP(A214, PRODUTOS!A:H, 3, FALSE)</f>
        <v/>
      </c>
    </row>
    <row r="215" ht="20.25" customHeight="1">
      <c r="A215" s="36">
        <v>2.00000072E8</v>
      </c>
      <c r="B215" s="20" t="str">
        <f>VLOOKUP(A215,produto,2,0)</f>
        <v>PLACA SOLA EVA MIOLO COMUM  EXPANDIDO DUREZA 60 BEGE 6mm (110 de comprimento)</v>
      </c>
      <c r="C215" s="8" t="str">
        <f>IFERROR(VLOOKUP(A215,PRODUTOS!A:E,5,FALSE), "Categoria não encontrada")</f>
        <v>OFICINA</v>
      </c>
      <c r="D215" s="166" t="str">
        <f>IFERROR(VLOOKUP(A215,PRODUTOS!A:E,4,FALSE), "Categoria não encontrada")</f>
        <v>UN</v>
      </c>
      <c r="E215" s="166">
        <f>SUMIFS(MOVIMENTACOES!F:F,MOVIMENTACOES!C:C,A215,MOVIMENTACOES!E:E,"Entrada")</f>
        <v>5</v>
      </c>
      <c r="F215" s="166">
        <f>SUMIFS(MOVIMENTACOES!F:F,MOVIMENTACOES!C:C,A215,MOVIMENTACOES!E:E,"Saída")</f>
        <v>0</v>
      </c>
      <c r="G215" s="168">
        <f t="shared" si="1"/>
        <v>5</v>
      </c>
      <c r="H215" s="169" t="str">
        <f t="shared" si="2"/>
        <v>OK</v>
      </c>
      <c r="I215" s="170" t="str">
        <f>VLOOKUP(A215, PRODUTOS!A:H, 3, FALSE)</f>
        <v/>
      </c>
    </row>
    <row r="216" ht="20.25" customHeight="1">
      <c r="A216" s="171">
        <v>2.00046152E8</v>
      </c>
      <c r="B216" s="20" t="str">
        <f>VLOOKUP(A216,produto,2,0)</f>
        <v>MESA DE ATIVIDADES PARA CADEIRA DE RODAS</v>
      </c>
      <c r="C216" s="8" t="str">
        <f>IFERROR(VLOOKUP(A216,PRODUTOS!A:E,5,FALSE), "Categoria não encontrada")</f>
        <v>OPM Auxiliares de Locomoção</v>
      </c>
      <c r="D216" s="166" t="str">
        <f>IFERROR(VLOOKUP(A216,PRODUTOS!A:E,4,FALSE), "Categoria não encontrada")</f>
        <v>UN</v>
      </c>
      <c r="E216" s="166">
        <f>SUMIFS(MOVIMENTACOES!F:F,MOVIMENTACOES!C:C,A216,MOVIMENTACOES!E:E,"Entrada")</f>
        <v>53</v>
      </c>
      <c r="F216" s="166">
        <f>SUMIFS(MOVIMENTACOES!F:F,MOVIMENTACOES!C:C,A216,MOVIMENTACOES!E:E,"Saída")</f>
        <v>30</v>
      </c>
      <c r="G216" s="168">
        <f t="shared" si="1"/>
        <v>23</v>
      </c>
      <c r="H216" s="169" t="str">
        <f t="shared" si="2"/>
        <v>OK</v>
      </c>
      <c r="I216" s="170" t="str">
        <f>VLOOKUP(A216, PRODUTOS!A:H, 3, FALSE)</f>
        <v>ORTOBRAS</v>
      </c>
    </row>
    <row r="217" ht="20.25" customHeight="1">
      <c r="A217" s="171">
        <v>4.9902013E8</v>
      </c>
      <c r="B217" s="20" t="str">
        <f>VLOOKUP(A217,produto,2,0)</f>
        <v>CONJUNTO ADEQUAÇÃO POSTURAL</v>
      </c>
      <c r="C217" s="8" t="str">
        <f>IFERROR(VLOOKUP(A217,PRODUTOS!A:E,5,FALSE), "Categoria não encontrada")</f>
        <v>OPM Auxiliares de Locomoção</v>
      </c>
      <c r="D217" s="166" t="str">
        <f>IFERROR(VLOOKUP(A217,PRODUTOS!A:E,4,FALSE), "Categoria não encontrada")</f>
        <v>UN</v>
      </c>
      <c r="E217" s="166">
        <f>SUMIFS(MOVIMENTACOES!F:F,MOVIMENTACOES!C:C,A217,MOVIMENTACOES!E:E,"Entrada")</f>
        <v>92</v>
      </c>
      <c r="F217" s="166">
        <f>SUMIFS(MOVIMENTACOES!F:F,MOVIMENTACOES!C:C,A217,MOVIMENTACOES!E:E,"Saída")</f>
        <v>0</v>
      </c>
      <c r="G217" s="168">
        <f t="shared" si="1"/>
        <v>92</v>
      </c>
      <c r="H217" s="169" t="str">
        <f t="shared" si="2"/>
        <v>OK</v>
      </c>
      <c r="I217" s="170" t="str">
        <f>VLOOKUP(A217, PRODUTOS!A:H, 3, FALSE)</f>
        <v>ORTOBRAS</v>
      </c>
    </row>
    <row r="218" ht="20.25" customHeight="1">
      <c r="A218" s="171">
        <v>4.99002089E8</v>
      </c>
      <c r="B218" s="20" t="str">
        <f>VLOOKUP(A218,produto,2,0)</f>
        <v>CJ P/ FIXAR SEPARADOR PERNAS AR/VD</v>
      </c>
      <c r="C218" s="8" t="str">
        <f>IFERROR(VLOOKUP(A218,PRODUTOS!A:E,5,FALSE), "Categoria não encontrada")</f>
        <v>OPM Auxiliares de Locomoção</v>
      </c>
      <c r="D218" s="166" t="str">
        <f>IFERROR(VLOOKUP(A218,PRODUTOS!A:E,4,FALSE), "Categoria não encontrada")</f>
        <v>UN</v>
      </c>
      <c r="E218" s="166">
        <f>SUMIFS(MOVIMENTACOES!F:F,MOVIMENTACOES!C:C,A218,MOVIMENTACOES!E:E,"Entrada")</f>
        <v>29</v>
      </c>
      <c r="F218" s="166">
        <f>SUMIFS(MOVIMENTACOES!F:F,MOVIMENTACOES!C:C,A218,MOVIMENTACOES!E:E,"Saída")</f>
        <v>0</v>
      </c>
      <c r="G218" s="168">
        <f t="shared" si="1"/>
        <v>29</v>
      </c>
      <c r="H218" s="169" t="str">
        <f t="shared" si="2"/>
        <v>OK</v>
      </c>
      <c r="I218" s="170" t="str">
        <f>VLOOKUP(A218, PRODUTOS!A:H, 3, FALSE)</f>
        <v>ORTOBRAS</v>
      </c>
    </row>
    <row r="219" ht="20.25" customHeight="1">
      <c r="A219" s="182">
        <v>4.99009237E8</v>
      </c>
      <c r="B219" s="20" t="str">
        <f>VLOOKUP(A219,produto,2,0)</f>
        <v>CAPA APOIO CABECA PRETO RT/FT</v>
      </c>
      <c r="C219" s="8" t="str">
        <f>IFERROR(VLOOKUP(A219,PRODUTOS!A:E,5,FALSE), "Categoria não encontrada")</f>
        <v>OPM Auxiliares de Locomoção</v>
      </c>
      <c r="D219" s="166" t="str">
        <f>IFERROR(VLOOKUP(A219,PRODUTOS!A:E,4,FALSE), "Categoria não encontrada")</f>
        <v>UN</v>
      </c>
      <c r="E219" s="166">
        <f>SUMIFS(MOVIMENTACOES!F:F,MOVIMENTACOES!C:C,A219,MOVIMENTACOES!E:E,"Entrada")</f>
        <v>20</v>
      </c>
      <c r="F219" s="166">
        <f>SUMIFS(MOVIMENTACOES!F:F,MOVIMENTACOES!C:C,A219,MOVIMENTACOES!E:E,"Saída")</f>
        <v>0</v>
      </c>
      <c r="G219" s="168">
        <f t="shared" si="1"/>
        <v>20</v>
      </c>
      <c r="H219" s="169" t="str">
        <f t="shared" si="2"/>
        <v>OK</v>
      </c>
      <c r="I219" s="170" t="str">
        <f>VLOOKUP(A219, PRODUTOS!A:H, 3, FALSE)</f>
        <v>ORTOBRAS</v>
      </c>
    </row>
    <row r="220" ht="20.25" customHeight="1">
      <c r="A220" s="174" t="s">
        <v>313</v>
      </c>
      <c r="B220" s="20" t="str">
        <f>VLOOKUP(A220,produto,2,0)</f>
        <v>CJ ESTICADOR ENCOSTO APOIO CABECA L36/L40/L44</v>
      </c>
      <c r="C220" s="8" t="str">
        <f>IFERROR(VLOOKUP(A220,PRODUTOS!A:E,5,FALSE), "Categoria não encontrada")</f>
        <v>OPM Auxiliares de Locomoção</v>
      </c>
      <c r="D220" s="166" t="str">
        <f>IFERROR(VLOOKUP(A220,PRODUTOS!A:E,4,FALSE), "Categoria não encontrada")</f>
        <v>UN</v>
      </c>
      <c r="E220" s="166">
        <f>SUMIFS(MOVIMENTACOES!F:F,MOVIMENTACOES!C:C,A220,MOVIMENTACOES!E:E,"Entrada")</f>
        <v>19</v>
      </c>
      <c r="F220" s="166">
        <f>SUMIFS(MOVIMENTACOES!F:F,MOVIMENTACOES!C:C,A220,MOVIMENTACOES!E:E,"Saída")</f>
        <v>0</v>
      </c>
      <c r="G220" s="168">
        <f t="shared" si="1"/>
        <v>19</v>
      </c>
      <c r="H220" s="169" t="str">
        <f t="shared" si="2"/>
        <v>OK</v>
      </c>
      <c r="I220" s="170" t="str">
        <f>VLOOKUP(A220, PRODUTOS!A:H, 3, FALSE)</f>
        <v>ORTOBRAS</v>
      </c>
    </row>
    <row r="221" ht="20.25" customHeight="1">
      <c r="A221" s="175" t="s">
        <v>316</v>
      </c>
      <c r="B221" s="20" t="str">
        <f>VLOOKUP(A221,produto,2,0)</f>
        <v>CJ PEDAL ADULTO DIR/ESQ K2/K3 (PAR)</v>
      </c>
      <c r="C221" s="8" t="str">
        <f>IFERROR(VLOOKUP(A221,PRODUTOS!A:E,5,FALSE), "Categoria não encontrada")</f>
        <v>OPM Auxiliares de Locomoção</v>
      </c>
      <c r="D221" s="166" t="str">
        <f>IFERROR(VLOOKUP(A221,PRODUTOS!A:E,4,FALSE), "Categoria não encontrada")</f>
        <v>UN</v>
      </c>
      <c r="E221" s="166">
        <f>SUMIFS(MOVIMENTACOES!F:F,MOVIMENTACOES!C:C,A221,MOVIMENTACOES!E:E,"Entrada")</f>
        <v>5</v>
      </c>
      <c r="F221" s="166">
        <f>SUMIFS(MOVIMENTACOES!F:F,MOVIMENTACOES!C:C,A221,MOVIMENTACOES!E:E,"Saída")</f>
        <v>1</v>
      </c>
      <c r="G221" s="168">
        <f t="shared" si="1"/>
        <v>4</v>
      </c>
      <c r="H221" s="169" t="str">
        <f t="shared" si="2"/>
        <v>OK</v>
      </c>
      <c r="I221" s="170" t="str">
        <f>VLOOKUP(A221, PRODUTOS!A:H, 3, FALSE)</f>
        <v>ORTOBRAS</v>
      </c>
    </row>
    <row r="222" ht="20.25" customHeight="1">
      <c r="A222" s="175" t="s">
        <v>324</v>
      </c>
      <c r="B222" s="20" t="str">
        <f>VLOOKUP(A222,produto,2,0)</f>
        <v>CJ APOIO CABECA INJETADO P/ ESTICADOR</v>
      </c>
      <c r="C222" s="8" t="str">
        <f>IFERROR(VLOOKUP(A222,PRODUTOS!A:E,5,FALSE), "Categoria não encontrada")</f>
        <v>OPM Auxiliares de Locomoção</v>
      </c>
      <c r="D222" s="166" t="str">
        <f>IFERROR(VLOOKUP(A222,PRODUTOS!A:E,4,FALSE), "Categoria não encontrada")</f>
        <v>UN</v>
      </c>
      <c r="E222" s="166">
        <f>SUMIFS(MOVIMENTACOES!F:F,MOVIMENTACOES!C:C,A222,MOVIMENTACOES!E:E,"Entrada")</f>
        <v>19</v>
      </c>
      <c r="F222" s="166">
        <f>SUMIFS(MOVIMENTACOES!F:F,MOVIMENTACOES!C:C,A222,MOVIMENTACOES!E:E,"Saída")</f>
        <v>0</v>
      </c>
      <c r="G222" s="168">
        <f t="shared" si="1"/>
        <v>19</v>
      </c>
      <c r="H222" s="169" t="str">
        <f t="shared" si="2"/>
        <v>OK</v>
      </c>
      <c r="I222" s="170" t="str">
        <f>VLOOKUP(A222, PRODUTOS!A:H, 3, FALSE)</f>
        <v>ORTOBRAS</v>
      </c>
    </row>
    <row r="223" ht="20.25" customHeight="1">
      <c r="A223" s="175" t="s">
        <v>329</v>
      </c>
      <c r="B223" s="20" t="str">
        <f>VLOOKUP(A223,produto,2,0)</f>
        <v>ESTOFAMENTO DE ASSENTO</v>
      </c>
      <c r="C223" s="8" t="str">
        <f>IFERROR(VLOOKUP(A223,PRODUTOS!A:E,5,FALSE), "Categoria não encontrada")</f>
        <v>OPM Auxiliares de Locomoção</v>
      </c>
      <c r="D223" s="166" t="str">
        <f>IFERROR(VLOOKUP(A223,PRODUTOS!A:E,4,FALSE), "Categoria não encontrada")</f>
        <v>UN</v>
      </c>
      <c r="E223" s="166">
        <f>SUMIFS(MOVIMENTACOES!F:F,MOVIMENTACOES!C:C,A223,MOVIMENTACOES!E:E,"Entrada")</f>
        <v>28</v>
      </c>
      <c r="F223" s="166">
        <f>SUMIFS(MOVIMENTACOES!F:F,MOVIMENTACOES!C:C,A223,MOVIMENTACOES!E:E,"Saída")</f>
        <v>3</v>
      </c>
      <c r="G223" s="168">
        <f t="shared" si="1"/>
        <v>25</v>
      </c>
      <c r="H223" s="169" t="str">
        <f t="shared" si="2"/>
        <v>OK</v>
      </c>
      <c r="I223" s="170" t="str">
        <f>VLOOKUP(A223, PRODUTOS!A:H, 3, FALSE)</f>
        <v>ORTOBRAS</v>
      </c>
    </row>
    <row r="224" ht="20.25" customHeight="1">
      <c r="A224" s="175" t="s">
        <v>332</v>
      </c>
      <c r="B224" s="20" t="str">
        <f>VLOOKUP(A224,produto,2,0)</f>
        <v>ESTOFAMENTO DE ENCOSTO</v>
      </c>
      <c r="C224" s="8" t="str">
        <f>IFERROR(VLOOKUP(A224,PRODUTOS!A:E,5,FALSE), "Categoria não encontrada")</f>
        <v>OPM Auxiliares de Locomoção</v>
      </c>
      <c r="D224" s="166" t="str">
        <f>IFERROR(VLOOKUP(A224,PRODUTOS!A:E,4,FALSE), "Categoria não encontrada")</f>
        <v>UN</v>
      </c>
      <c r="E224" s="166">
        <f>SUMIFS(MOVIMENTACOES!F:F,MOVIMENTACOES!C:C,A224,MOVIMENTACOES!E:E,"Entrada")</f>
        <v>32</v>
      </c>
      <c r="F224" s="166">
        <f>SUMIFS(MOVIMENTACOES!F:F,MOVIMENTACOES!C:C,A224,MOVIMENTACOES!E:E,"Saída")</f>
        <v>3</v>
      </c>
      <c r="G224" s="168">
        <f t="shared" si="1"/>
        <v>29</v>
      </c>
      <c r="H224" s="169" t="str">
        <f t="shared" si="2"/>
        <v>OK</v>
      </c>
      <c r="I224" s="170" t="str">
        <f>VLOOKUP(A224, PRODUTOS!A:H, 3, FALSE)</f>
        <v>ORTOBRAS</v>
      </c>
    </row>
    <row r="225" ht="20.25" customHeight="1">
      <c r="A225" s="179">
        <v>2.00078042E8</v>
      </c>
      <c r="B225" s="20" t="str">
        <f>VLOOKUP(A225,produto,2,0)</f>
        <v>MULETA CANADENSE ARTICULADA ALUMINIO REF: AG 6017</v>
      </c>
      <c r="C225" s="8" t="str">
        <f>IFERROR(VLOOKUP(A225,PRODUTOS!A:E,5,FALSE), "Categoria não encontrada")</f>
        <v>OPM Auxiliares de Locomoção</v>
      </c>
      <c r="D225" s="166" t="str">
        <f>IFERROR(VLOOKUP(A225,PRODUTOS!A:E,4,FALSE), "Categoria não encontrada")</f>
        <v>PAR</v>
      </c>
      <c r="E225" s="166">
        <f>SUMIFS(MOVIMENTACOES!F:F,MOVIMENTACOES!C:C,A225,MOVIMENTACOES!E:E,"Entrada")</f>
        <v>20</v>
      </c>
      <c r="F225" s="166">
        <f>SUMIFS(MOVIMENTACOES!F:F,MOVIMENTACOES!C:C,A225,MOVIMENTACOES!E:E,"Saída")</f>
        <v>2</v>
      </c>
      <c r="G225" s="168">
        <f t="shared" si="1"/>
        <v>18</v>
      </c>
      <c r="H225" s="169" t="str">
        <f t="shared" si="2"/>
        <v>OK</v>
      </c>
      <c r="I225" s="170" t="str">
        <f>VLOOKUP(A225, PRODUTOS!A:H, 3, FALSE)</f>
        <v/>
      </c>
    </row>
    <row r="226" ht="20.25" customHeight="1">
      <c r="A226" s="179">
        <v>2.00078043E8</v>
      </c>
      <c r="B226" s="20" t="str">
        <f>VLOOKUP(A226,produto,2,0)</f>
        <v>MULETA AXILAR EM ALUMINIO REF: AG 6008</v>
      </c>
      <c r="C226" s="8" t="str">
        <f>IFERROR(VLOOKUP(A226,PRODUTOS!A:E,5,FALSE), "Categoria não encontrada")</f>
        <v>OPM Auxiliares de Locomoção</v>
      </c>
      <c r="D226" s="166" t="str">
        <f>IFERROR(VLOOKUP(A226,PRODUTOS!A:E,4,FALSE), "Categoria não encontrada")</f>
        <v>PAR</v>
      </c>
      <c r="E226" s="166">
        <f>SUMIFS(MOVIMENTACOES!F:F,MOVIMENTACOES!C:C,A226,MOVIMENTACOES!E:E,"Entrada")</f>
        <v>14</v>
      </c>
      <c r="F226" s="166">
        <f>SUMIFS(MOVIMENTACOES!F:F,MOVIMENTACOES!C:C,A226,MOVIMENTACOES!E:E,"Saída")</f>
        <v>0</v>
      </c>
      <c r="G226" s="168">
        <f t="shared" si="1"/>
        <v>14</v>
      </c>
      <c r="H226" s="169" t="str">
        <f t="shared" si="2"/>
        <v>OK</v>
      </c>
      <c r="I226" s="170" t="str">
        <f>VLOOKUP(A226, PRODUTOS!A:H, 3, FALSE)</f>
        <v/>
      </c>
    </row>
    <row r="227" ht="20.25" customHeight="1">
      <c r="A227" s="176">
        <v>2.00004223E8</v>
      </c>
      <c r="B227" s="20" t="str">
        <f>VLOOKUP(A227,produto,2,0)</f>
        <v>INJETADO FECHO ENGATE 25MM</v>
      </c>
      <c r="C227" s="8" t="str">
        <f>IFERROR(VLOOKUP(A227,PRODUTOS!A:E,5,FALSE), "Categoria não encontrada")</f>
        <v>TAPEÇARIA</v>
      </c>
      <c r="D227" s="166" t="str">
        <f>IFERROR(VLOOKUP(A227,PRODUTOS!A:E,4,FALSE), "Categoria não encontrada")</f>
        <v>UN</v>
      </c>
      <c r="E227" s="166">
        <f>SUMIFS(MOVIMENTACOES!F:F,MOVIMENTACOES!C:C,A227,MOVIMENTACOES!E:E,"Entrada")</f>
        <v>102</v>
      </c>
      <c r="F227" s="166">
        <f>SUMIFS(MOVIMENTACOES!F:F,MOVIMENTACOES!C:C,A227,MOVIMENTACOES!E:E,"Saída")</f>
        <v>20</v>
      </c>
      <c r="G227" s="168">
        <f t="shared" si="1"/>
        <v>82</v>
      </c>
      <c r="H227" s="169" t="str">
        <f t="shared" si="2"/>
        <v>OK</v>
      </c>
      <c r="I227" s="170" t="str">
        <f>VLOOKUP(A227, PRODUTOS!A:H, 3, FALSE)</f>
        <v>(PK)RAFAEL LIMA</v>
      </c>
    </row>
    <row r="228" ht="20.25" customHeight="1">
      <c r="A228" s="176">
        <v>2.00004226E8</v>
      </c>
      <c r="B228" s="20" t="str">
        <f>VLOOKUP(A228,produto,2,0)</f>
        <v>INJETADO FECHO ENGATE 50MM</v>
      </c>
      <c r="C228" s="8" t="str">
        <f>IFERROR(VLOOKUP(A228,PRODUTOS!A:E,5,FALSE), "Categoria não encontrada")</f>
        <v>TAPEÇARIA</v>
      </c>
      <c r="D228" s="166" t="str">
        <f>IFERROR(VLOOKUP(A228,PRODUTOS!A:E,4,FALSE), "Categoria não encontrada")</f>
        <v>UN</v>
      </c>
      <c r="E228" s="166">
        <f>SUMIFS(MOVIMENTACOES!F:F,MOVIMENTACOES!C:C,A228,MOVIMENTACOES!E:E,"Entrada")</f>
        <v>104</v>
      </c>
      <c r="F228" s="166">
        <f>SUMIFS(MOVIMENTACOES!F:F,MOVIMENTACOES!C:C,A228,MOVIMENTACOES!E:E,"Saída")</f>
        <v>5</v>
      </c>
      <c r="G228" s="168">
        <f t="shared" si="1"/>
        <v>99</v>
      </c>
      <c r="H228" s="169" t="str">
        <f t="shared" si="2"/>
        <v>OK</v>
      </c>
      <c r="I228" s="170" t="str">
        <f>VLOOKUP(A228, PRODUTOS!A:H, 3, FALSE)</f>
        <v>(PK)RAFAEL LIMA</v>
      </c>
    </row>
    <row r="229" ht="20.25" customHeight="1">
      <c r="A229" s="176">
        <v>2.00004237E8</v>
      </c>
      <c r="B229" s="20" t="str">
        <f>VLOOKUP(A229,produto,2,0)</f>
        <v>INJETADO FECHO REGULADOR  25MM</v>
      </c>
      <c r="C229" s="8" t="str">
        <f>IFERROR(VLOOKUP(A229,PRODUTOS!A:E,5,FALSE), "Categoria não encontrada")</f>
        <v>TAPEÇARIA</v>
      </c>
      <c r="D229" s="166" t="str">
        <f>IFERROR(VLOOKUP(A229,PRODUTOS!A:E,4,FALSE), "Categoria não encontrada")</f>
        <v>UN</v>
      </c>
      <c r="E229" s="166">
        <f>SUMIFS(MOVIMENTACOES!F:F,MOVIMENTACOES!C:C,A229,MOVIMENTACOES!E:E,"Entrada")</f>
        <v>103</v>
      </c>
      <c r="F229" s="166">
        <f>SUMIFS(MOVIMENTACOES!F:F,MOVIMENTACOES!C:C,A229,MOVIMENTACOES!E:E,"Saída")</f>
        <v>8</v>
      </c>
      <c r="G229" s="168">
        <f t="shared" si="1"/>
        <v>95</v>
      </c>
      <c r="H229" s="169" t="str">
        <f t="shared" si="2"/>
        <v>OK</v>
      </c>
      <c r="I229" s="170" t="str">
        <f>VLOOKUP(A229, PRODUTOS!A:H, 3, FALSE)</f>
        <v>(PK)RAFAEL LIMA</v>
      </c>
    </row>
    <row r="230" ht="20.25" customHeight="1">
      <c r="A230" s="176">
        <v>2.0000424E8</v>
      </c>
      <c r="B230" s="20" t="str">
        <f>VLOOKUP(A230,produto,2,0)</f>
        <v>INJETADO FECHO REGULADOR 50MM</v>
      </c>
      <c r="C230" s="8" t="str">
        <f>IFERROR(VLOOKUP(A230,PRODUTOS!A:E,5,FALSE), "Categoria não encontrada")</f>
        <v>TAPEÇARIA</v>
      </c>
      <c r="D230" s="166" t="str">
        <f>IFERROR(VLOOKUP(A230,PRODUTOS!A:E,4,FALSE), "Categoria não encontrada")</f>
        <v>UN</v>
      </c>
      <c r="E230" s="166">
        <f>SUMIFS(MOVIMENTACOES!F:F,MOVIMENTACOES!C:C,A230,MOVIMENTACOES!E:E,"Entrada")</f>
        <v>62</v>
      </c>
      <c r="F230" s="166">
        <f>SUMIFS(MOVIMENTACOES!F:F,MOVIMENTACOES!C:C,A230,MOVIMENTACOES!E:E,"Saída")</f>
        <v>4</v>
      </c>
      <c r="G230" s="168">
        <f t="shared" si="1"/>
        <v>58</v>
      </c>
      <c r="H230" s="169" t="str">
        <f t="shared" si="2"/>
        <v>OK</v>
      </c>
      <c r="I230" s="170" t="str">
        <f>VLOOKUP(A230, PRODUTOS!A:H, 3, FALSE)</f>
        <v>(PK)RAFAEL LIMA</v>
      </c>
    </row>
    <row r="231" ht="20.25" customHeight="1">
      <c r="A231" s="36">
        <v>2.00003277E8</v>
      </c>
      <c r="B231" s="20" t="str">
        <f>VLOOKUP(A231,produto,2,0)</f>
        <v>LINHA 60 100% POLIESTER - 80 GRAMAS - BRANCA</v>
      </c>
      <c r="C231" s="8" t="str">
        <f>IFERROR(VLOOKUP(A231,PRODUTOS!A:E,5,FALSE), "Categoria não encontrada")</f>
        <v>TAPEÇARIA</v>
      </c>
      <c r="D231" s="166" t="str">
        <f>IFERROR(VLOOKUP(A231,PRODUTOS!A:E,4,FALSE), "Categoria não encontrada")</f>
        <v>UN</v>
      </c>
      <c r="E231" s="166">
        <f>SUMIFS(MOVIMENTACOES!F:F,MOVIMENTACOES!C:C,A231,MOVIMENTACOES!E:E,"Entrada")</f>
        <v>4</v>
      </c>
      <c r="F231" s="166">
        <f>SUMIFS(MOVIMENTACOES!F:F,MOVIMENTACOES!C:C,A231,MOVIMENTACOES!E:E,"Saída")</f>
        <v>0</v>
      </c>
      <c r="G231" s="168">
        <f t="shared" si="1"/>
        <v>4</v>
      </c>
      <c r="H231" s="169" t="str">
        <f t="shared" si="2"/>
        <v>OK</v>
      </c>
      <c r="I231" s="170" t="str">
        <f>VLOOKUP(A231, PRODUTOS!A:H, 3, FALSE)</f>
        <v>(PK)RAFAEL LIMA</v>
      </c>
    </row>
    <row r="232" ht="20.25" customHeight="1">
      <c r="A232" s="36">
        <v>2.00003278E8</v>
      </c>
      <c r="B232" s="20" t="str">
        <f>VLOOKUP(A232,produto,2,0)</f>
        <v>LINHA 60 100% POLIESTER - 80 GRAMAS - PRETA</v>
      </c>
      <c r="C232" s="8" t="str">
        <f>IFERROR(VLOOKUP(A232,PRODUTOS!A:E,5,FALSE), "Categoria não encontrada")</f>
        <v>TAPEÇARIA</v>
      </c>
      <c r="D232" s="166" t="str">
        <f>IFERROR(VLOOKUP(A232,PRODUTOS!A:E,4,FALSE), "Categoria não encontrada")</f>
        <v>UN</v>
      </c>
      <c r="E232" s="166">
        <f>SUMIFS(MOVIMENTACOES!F:F,MOVIMENTACOES!C:C,A232,MOVIMENTACOES!E:E,"Entrada")</f>
        <v>7</v>
      </c>
      <c r="F232" s="166">
        <f>SUMIFS(MOVIMENTACOES!F:F,MOVIMENTACOES!C:C,A232,MOVIMENTACOES!E:E,"Saída")</f>
        <v>1</v>
      </c>
      <c r="G232" s="168">
        <f t="shared" si="1"/>
        <v>6</v>
      </c>
      <c r="H232" s="169" t="str">
        <f t="shared" si="2"/>
        <v>OK</v>
      </c>
      <c r="I232" s="170" t="str">
        <f>VLOOKUP(A232, PRODUTOS!A:H, 3, FALSE)</f>
        <v>(PK)RAFAEL LIMA</v>
      </c>
    </row>
    <row r="233" ht="20.25" customHeight="1">
      <c r="A233" s="171">
        <v>2.00000039E8</v>
      </c>
      <c r="B233" s="20" t="str">
        <f>VLOOKUP(A233,produto,2,0)</f>
        <v>PASSADOR OVAL FERRO (NIVELADOR)  50MM</v>
      </c>
      <c r="C233" s="8" t="str">
        <f>IFERROR(VLOOKUP(A233,PRODUTOS!A:E,5,FALSE), "Categoria não encontrada")</f>
        <v>TAPEÇARIA</v>
      </c>
      <c r="D233" s="166" t="str">
        <f>IFERROR(VLOOKUP(A233,PRODUTOS!A:E,4,FALSE), "Categoria não encontrada")</f>
        <v>UN</v>
      </c>
      <c r="E233" s="166">
        <f>SUMIFS(MOVIMENTACOES!F:F,MOVIMENTACOES!C:C,A233,MOVIMENTACOES!E:E,"Entrada")</f>
        <v>100</v>
      </c>
      <c r="F233" s="166">
        <f>SUMIFS(MOVIMENTACOES!F:F,MOVIMENTACOES!C:C,A233,MOVIMENTACOES!E:E,"Saída")</f>
        <v>11</v>
      </c>
      <c r="G233" s="168">
        <f t="shared" si="1"/>
        <v>89</v>
      </c>
      <c r="H233" s="169" t="str">
        <f t="shared" si="2"/>
        <v>OK</v>
      </c>
      <c r="I233" s="170" t="str">
        <f>VLOOKUP(A233, PRODUTOS!A:H, 3, FALSE)</f>
        <v>COMERCIO DE FIVELAS KAMISHIGUE LTDA</v>
      </c>
    </row>
    <row r="234" ht="20.25" customHeight="1">
      <c r="A234" s="171">
        <v>2.00000038E8</v>
      </c>
      <c r="B234" s="20" t="str">
        <f>VLOOKUP(A234,produto,2,0)</f>
        <v>PASSANTE FERRO NIQUEL(NIVELADOR) 25MM</v>
      </c>
      <c r="C234" s="8" t="str">
        <f>IFERROR(VLOOKUP(A234,PRODUTOS!A:E,5,FALSE), "Categoria não encontrada")</f>
        <v>TAPEÇARIA</v>
      </c>
      <c r="D234" s="166" t="str">
        <f>IFERROR(VLOOKUP(A234,PRODUTOS!A:E,4,FALSE), "Categoria não encontrada")</f>
        <v>UN</v>
      </c>
      <c r="E234" s="166">
        <f>SUMIFS(MOVIMENTACOES!F:F,MOVIMENTACOES!C:C,A234,MOVIMENTACOES!E:E,"Entrada")</f>
        <v>200</v>
      </c>
      <c r="F234" s="166">
        <f>SUMIFS(MOVIMENTACOES!F:F,MOVIMENTACOES!C:C,A234,MOVIMENTACOES!E:E,"Saída")</f>
        <v>13</v>
      </c>
      <c r="G234" s="168">
        <f t="shared" si="1"/>
        <v>187</v>
      </c>
      <c r="H234" s="169" t="str">
        <f t="shared" si="2"/>
        <v>OK</v>
      </c>
      <c r="I234" s="170" t="str">
        <f>VLOOKUP(A234, PRODUTOS!A:H, 3, FALSE)</f>
        <v>ATENDE SMART</v>
      </c>
    </row>
    <row r="235" ht="20.25" customHeight="1">
      <c r="A235" s="171">
        <v>2.00000052E8</v>
      </c>
      <c r="B235" s="20" t="str">
        <f>VLOOKUP(A235,produto,2,0)</f>
        <v>Tercido Navalhado Verde</v>
      </c>
      <c r="C235" s="8" t="str">
        <f>IFERROR(VLOOKUP(A235,PRODUTOS!A:E,5,FALSE), "Categoria não encontrada")</f>
        <v>TAPEÇARIA</v>
      </c>
      <c r="D235" s="166" t="str">
        <f>IFERROR(VLOOKUP(A235,PRODUTOS!A:E,4,FALSE), "Categoria não encontrada")</f>
        <v>MT</v>
      </c>
      <c r="E235" s="166">
        <f>SUMIFS(MOVIMENTACOES!F:F,MOVIMENTACOES!C:C,A235,MOVIMENTACOES!E:E,"Entrada")</f>
        <v>20</v>
      </c>
      <c r="F235" s="166">
        <f>SUMIFS(MOVIMENTACOES!F:F,MOVIMENTACOES!C:C,A235,MOVIMENTACOES!E:E,"Saída")</f>
        <v>7.8</v>
      </c>
      <c r="G235" s="168">
        <f t="shared" si="1"/>
        <v>12.2</v>
      </c>
      <c r="H235" s="169" t="str">
        <f t="shared" si="2"/>
        <v>OK</v>
      </c>
      <c r="I235" s="170" t="str">
        <f>VLOOKUP(A235, PRODUTOS!A:H, 3, FALSE)</f>
        <v/>
      </c>
    </row>
  </sheetData>
  <conditionalFormatting sqref="H2:H235">
    <cfRule type="colorScale" priority="1">
      <colorScale>
        <cfvo type="min"/>
        <cfvo type="max"/>
        <color rgb="FFFFFFFF"/>
        <color rgb="FF57BB8A"/>
      </colorScale>
    </cfRule>
  </conditionalFormatting>
  <conditionalFormatting sqref="H2:H235">
    <cfRule type="cellIs" dxfId="5" priority="2" operator="equal">
      <formula>"Faltando"</formula>
    </cfRule>
  </conditionalFormatting>
  <conditionalFormatting sqref="H2:H235">
    <cfRule type="cellIs" dxfId="6" priority="3" operator="equal">
      <formula>"OK"</formula>
    </cfRule>
  </conditionalFormatting>
  <conditionalFormatting sqref="H2:H235">
    <cfRule type="cellIs" dxfId="7" priority="4" operator="equal">
      <formula>"ATENÇÃO"</formula>
    </cfRule>
  </conditionalFormatting>
  <dataValidations>
    <dataValidation type="list" allowBlank="1" sqref="C2:C235">
      <formula1>"EXPEDIENTE,OFICINA,EPI,LIMPEZA,CONSUMO,ORTESES E PROTESES,MATERIAL T.O,TAPEÇARIA,MOVEIS,OPM Auxiliares de Locomoção"</formula1>
    </dataValidation>
    <dataValidation type="custom" allowBlank="1" showDropDown="1" sqref="E2:G235">
      <formula1>AND(ISNUMBER(E2),(NOT(OR(NOT(ISERROR(DATEVALUE(E2))), AND(ISNUMBER(E2), LEFT(CELL("format", E2))="D")))))</formula1>
    </dataValidation>
  </dataValidations>
  <printOptions/>
  <pageMargins bottom="0.35295555714009236" footer="0.0" header="0.0" left="0.7840729092536904" right="0.7840729092536904" top="0.3749913913821997"/>
  <pageSetup paperSize="9"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2025-04-25T11:17:16Z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